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5"/>
    <sheet state="visible" name="ref" sheetId="2" r:id="rId6"/>
    <sheet state="visible" name="pedido distribuidora" sheetId="3" r:id="rId7"/>
    <sheet state="visible" name="Clientes" sheetId="4" r:id="rId8"/>
    <sheet state="visible" name="Pedidos_JA" sheetId="5" r:id="rId9"/>
    <sheet state="visible" name="PEDIDOS m y m" sheetId="6" r:id="rId10"/>
    <sheet state="visible" name="Hoja 7" sheetId="7" r:id="rId11"/>
  </sheets>
  <definedNames>
    <definedName hidden="1" localSheetId="4" name="_xlnm._FilterDatabase">Pedidos_JA!$A$1:$AA$91</definedName>
    <definedName hidden="1" localSheetId="5" name="_xlnm._FilterDatabase">'PEDIDOS m y m'!$D$115:$E$175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tc={01440919-262a-4450-831b-b125dbf520d6}</author>
  </authors>
  <commentList>
    <comment authorId="0" xr:uid="{01440919-262a-4450-831b-b125dbf520d6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@abogada.moriconi@gmail.com Especificar como es el pack
Asignada a abogada.moriconi@gmail.com
</t>
      </text>
    </comment>
  </commentList>
</comments>
</file>

<file path=xl/sharedStrings.xml><?xml version="1.0" encoding="utf-8"?>
<sst xmlns="http://schemas.openxmlformats.org/spreadsheetml/2006/main" count="6343" uniqueCount="2124">
  <si>
    <t>Nombre</t>
  </si>
  <si>
    <t>Categoría</t>
  </si>
  <si>
    <t>Descripción</t>
  </si>
  <si>
    <t>Precio</t>
  </si>
  <si>
    <t>URL de Imagen</t>
  </si>
  <si>
    <t>Nuez Mariposa Extra Light  x 1 Kg</t>
  </si>
  <si>
    <t>Frutos Secos</t>
  </si>
  <si>
    <t>Detallar con palabras claras</t>
  </si>
  <si>
    <t>https://cdn.newgarden.com.ar/media/catalog/product/cache/dda7253a1a2f6711745de410175d10f8/n/u/nuez-pelada-cuartillo-extra-light_1_2_1_1.jpg</t>
  </si>
  <si>
    <t>Almendra Non Pareil 27/30 x 1 Kg</t>
  </si>
  <si>
    <t>https://encrypted-tbn0.gstatic.com/images?q=tbn:ANd9GcTnYmm3nBskRSQNDC7mbDaylPr-fLeZ5s2BHQ&amp;s</t>
  </si>
  <si>
    <t>Mani tostado con y sin sal PREMIUM x 1 Kg</t>
  </si>
  <si>
    <t>https://cdn.newgarden.com.ar/media/catalog/product/cache/dda7253a1a2f6711745de410175d10f8/1/3/13089-mani-repelado-salado-y-tostado_1.jpg</t>
  </si>
  <si>
    <t>Nuez Pecan x 1 Kg</t>
  </si>
  <si>
    <t>https://cdn.shopify.com/s/files/1/1699/9375/files/la-nuez-pecan-ayuda-a-adelgazar_large.jpg?v=1499651301</t>
  </si>
  <si>
    <t>Cajú W4 brasilero x 1 Kg</t>
  </si>
  <si>
    <t>https://dcdn-us.mitiendanube.com/stores/001/569/510/products/_68y17isb6-fe1989881887e9785716430667084431-1024-1024.webp</t>
  </si>
  <si>
    <t>Caju Tostadas con sal y sin sal 1kg</t>
  </si>
  <si>
    <t>https://ketoandco.com.ar/wp-content/uploads/2024/08/castanas-de-caju-tostadas-y-saladas-2.png</t>
  </si>
  <si>
    <t>Castañas de PARA x 1 Kg</t>
  </si>
  <si>
    <t>https://cdn.newgarden.com.ar/media/catalog/product/cache/dda7253a1a2f6711745de410175d10f8/c/a/castanas-de-para-1-kg.jpg</t>
  </si>
  <si>
    <t>Avellanas grandes  x 1 Kg</t>
  </si>
  <si>
    <t>https://tse2.mm.bing.net/th/id/OIP.EUdZVDmCv6FQwUlFKj3oMgHaE7?pid=Api&amp;P=0&amp;h=180</t>
  </si>
  <si>
    <t>Pasas Rubia  1kg</t>
  </si>
  <si>
    <t>https://cdn.newgarden.com.ar/media/catalog/product/cache/dda7253a1a2f6711745de410175d10f8/p/a/pasas-de-uva-rubias-premium-x-1kg.jpg</t>
  </si>
  <si>
    <t>Pistacho salado con cascara x 1 Kg</t>
  </si>
  <si>
    <t>https://cdn.newgarden.com.ar/media/catalog/product/cache/dda7253a1a2f6711745de410175d10f8/p/i/pistacho-con-cascara-salado-y-tostado-1kg.jpg</t>
  </si>
  <si>
    <t>Maiz Frito salado x 1kg</t>
  </si>
  <si>
    <t>https://tse3.mm.bing.net/th/id/OIP.w6yQYT_irw2zFRcafVuuFQAAAA?pid=Api&amp;P=0&amp;h=180</t>
  </si>
  <si>
    <t>Mix criollo o Runner (Nuez cuartos , almendra, cajú, mani, pasas rubias y morochas) x 1kg</t>
  </si>
  <si>
    <t>Mix de Frutos secos</t>
  </si>
  <si>
    <t>https://encrypted-tbn0.gstatic.com/images?q=tbn:ANd9GcSKpfMEboVqmOHd2ilCkB_E-_hlK6NGs4wdZg&amp;s</t>
  </si>
  <si>
    <t>Mix criollo o Runner SIN MANI (Almendra, nuez, pasas rubias, pasas morochas y caju) 1kg</t>
  </si>
  <si>
    <t>https://acdn-us.mitiendanube.com/stores/001/229/173/products/mix-de-frutos-secos-con-pasas-12-kg-d_nq_np_589905-mla25107800259_102016-f1-799a1be3d88edbecbb15945260039537-480-0.jpg</t>
  </si>
  <si>
    <t>Mix premium gourmet  (Cajú, almendras, nueces y avellanas) x 1kg</t>
  </si>
  <si>
    <t>https://acdn-us.mitiendanube.com/stores/001/184/135/products/11-30087acda95d00a49316263074834401-640-0.webp</t>
  </si>
  <si>
    <t>Mix europeo (Almendra, nuez, mani y caju) 1kg</t>
  </si>
  <si>
    <t>https://acdn-us.mitiendanube.com/stores/001/040/363/products/s-botanica-protectos-solar-fps-30-125ml-611-6b43b3b9208898d57c16717359401681-640-0.png</t>
  </si>
  <si>
    <t>Mix criollo o runner con bananitas (Cajú, almendras, nueces, mani, pasas rubias y morochas, bananitas)</t>
  </si>
  <si>
    <t>https://http2.mlstatic.com/D_NQ_NP_600579-MLA53014366217_122022-O.webp</t>
  </si>
  <si>
    <t>Mix cervecero (semillas peladas de girasol y de zapallo, castañas de cajú saladas, maní salado, maní japonés) 1kg</t>
  </si>
  <si>
    <t>https://d22fxaf9t8d39k.cloudfront.net/1383ba2a1c02bff5e680d91b32794476f4a03c7f91c4bd15de989ce8bb01e8e565493.png</t>
  </si>
  <si>
    <t>Mix Berry ( Arándanos, cerezas, frutillas, nueces, cajú, almendras, coco en escamas y pasas) 1Kg</t>
  </si>
  <si>
    <t xml:space="preserve">Mix Frutos secos </t>
  </si>
  <si>
    <t>https://d22fxaf9t8d39k.cloudfront.net/66157a64ab633490eb331455e87ec03e4ce8cac0788ecf398aee49548d7548f465493.jpeg</t>
  </si>
  <si>
    <t>Mix Pan Dulce</t>
  </si>
  <si>
    <t>https://tse3.mm.bing.net/th/id/OIP.ekOVbwPBYW8BCYqov8csBgHaFj?pid=Api&amp;P=0&amp;h=180</t>
  </si>
  <si>
    <t>Bananas disecadas x 1kg</t>
  </si>
  <si>
    <t>Frutas Disecadas</t>
  </si>
  <si>
    <t>https://tse2.mm.bing.net/th/id/OIP.WztaZHMqZeBta6F1Qf1uLwHaHa?pid=Api&amp;P=0&amp;h=180</t>
  </si>
  <si>
    <t>Damasco turco grande x 1kg</t>
  </si>
  <si>
    <t>https://cdn.newgarden.com.ar/media/catalog/product/cache/dda7253a1a2f6711745de410175d10f8/d/a/damascos-turcos-gigantes.jpg</t>
  </si>
  <si>
    <t>Tomates deshidratados x 1kg</t>
  </si>
  <si>
    <t>https://www.oestepizzaparty.com.ar/wp-content/uploads/2024/07/TOMATE-SECO.jpg</t>
  </si>
  <si>
    <t>Peras x 1kg</t>
  </si>
  <si>
    <t>https://tse3.mm.bing.net/th/id/OIP.zF-rlypNt8a3Ez0oYfijEAHaHa?pid=Api&amp;P=0&amp;h=180</t>
  </si>
  <si>
    <t>Durazno Extra Grandes x 1kg</t>
  </si>
  <si>
    <t>https://frutaslosnogales.com.ar/wp-content/uploads/2017/10/damascos-desecados.jpg</t>
  </si>
  <si>
    <t>Ciruelas d Agen sin carozo  x 1kg</t>
  </si>
  <si>
    <t>https://http2.mlstatic.com/D_NQ_NP_817799-MLA49745917640_042022-O.webp</t>
  </si>
  <si>
    <t>Arandanos</t>
  </si>
  <si>
    <t>https://http2.mlstatic.com/D_NQ_NP_971630-MLA43638879754_092020-O.webp</t>
  </si>
  <si>
    <t>Higos negros x 5kg</t>
  </si>
  <si>
    <t>https://encrypted-tbn0.gstatic.com/images?q=tbn:ANd9GcS8dLvMpss83GZFYyFV7I6LpVznhQOKnMXEzQ&amp;s</t>
  </si>
  <si>
    <t>Datiles Egipto Caja 1 kg OFERTA</t>
  </si>
  <si>
    <t>https://http2.mlstatic.com/D_NQ_NP_708601-MLA78585683115_082024-O.webp</t>
  </si>
  <si>
    <t>datiles Argelia</t>
  </si>
  <si>
    <t>frutas Disecadas</t>
  </si>
  <si>
    <t>Mix de semillas  (Lino,  girasol, sésamo) x 1kg</t>
  </si>
  <si>
    <t>Semillas Premium</t>
  </si>
  <si>
    <t>https://encrypted-tbn0.gstatic.com/images?q=tbn:ANd9GcTglzHWASxwluXIIkarYSwqpvnGgcZeuCAcLg&amp;s</t>
  </si>
  <si>
    <t>Lino x 1Kg</t>
  </si>
  <si>
    <t>https://acdn-us.mitiendanube.com/stores/002/625/145/products/granola-exotica-2023-04-03t151215-6301-3106e1387bb613118416805456176298-1024-1024.jpg</t>
  </si>
  <si>
    <t>Chia premium x 1Kg</t>
  </si>
  <si>
    <t>https://http2.mlstatic.com/D_NQ_NP_894603-MLA43239351703_082020-O.webp</t>
  </si>
  <si>
    <t>Sésamo integral x 1Kg</t>
  </si>
  <si>
    <t>https://acdn-us.mitiendanube.com/stores/139/211/products/si1-5f39e3dbf951b2058416613695784776-640-0.jpg</t>
  </si>
  <si>
    <t>Sesamo blanco x 1Kg</t>
  </si>
  <si>
    <t>https://encrypted-tbn0.gstatic.com/images?q=tbn:ANd9GcQntFNQLSfcCRPYfdDWENnN-nnjkiXEd5X_rg&amp;s</t>
  </si>
  <si>
    <t>Girasol x 1Kg</t>
  </si>
  <si>
    <t>https://cdn.newgarden.com.ar/media/catalog/product/cache/dda7253a1a2f6711745de410175d10f8/s/e/semillas-de-girasol.jpg</t>
  </si>
  <si>
    <t>Quinoa x 1Kg</t>
  </si>
  <si>
    <t>https://encrypted-tbn0.gstatic.com/images?q=tbn:ANd9GcSG1kARLaOIE7pGoafKjoedBbAX8hILHyNDMA&amp;s</t>
  </si>
  <si>
    <t>Zapallo x 1Kg</t>
  </si>
  <si>
    <t>https://encrypted-tbn0.gstatic.com/images?q=tbn:ANd9GcTPwa8YpJ2Ttnds1LqAjpNrlaMFFdLbLeE9nw&amp;s</t>
  </si>
  <si>
    <t xml:space="preserve">Arroz Yamani- OFERTA- </t>
  </si>
  <si>
    <t>Arroz</t>
  </si>
  <si>
    <t>https://tse1.mm.bing.net/th/id/OIP.T_wgPNv93guoZVlYExjQhwAAAA?pid=Api&amp;P=0&amp;h=180</t>
  </si>
  <si>
    <t>https://cdn.newgarden.com.ar/media/catalog/product/cache/dda7253a1a2f6711745de410175d10f8/h/a/harina-de-avena-x-1-kg.jpg</t>
  </si>
  <si>
    <t>Harina de coco  x 1Kg</t>
  </si>
  <si>
    <t>Harinas</t>
  </si>
  <si>
    <t>https://cdn.newgarden.com.ar/media/catalog/product/cache/dda7253a1a2f6711745de410175d10f8/h/a/harina-de-coco-x-1-kg_1.jpg</t>
  </si>
  <si>
    <t>Harina de Pistacho x 1kg</t>
  </si>
  <si>
    <t xml:space="preserve">Harina </t>
  </si>
  <si>
    <t>https://www.ferwer.es/img/blog/pistaciova-mouka-orechy-miska-lzice.webp</t>
  </si>
  <si>
    <t>Harina de almendras  con piel- OFERTA  x 1Kg</t>
  </si>
  <si>
    <t>https://cdn.newgarden.com.ar/media/catalog/product/cache/dda7253a1a2f6711745de410175d10f8/h/a/harina_de_almendra_con_piel_tostada_1.jpg</t>
  </si>
  <si>
    <t>Harina de almendras sin piel- OFERTA  x 1Kg</t>
  </si>
  <si>
    <t>https://cdn.newgarden.com.ar/media/catalog/product/cache/dda7253a1a2f6711745de410175d10f8/h/a/harina-de-almendra-x-500-g.jpg</t>
  </si>
  <si>
    <t>https://encrypted-tbn0.gstatic.com/images?q=tbn:ANd9GcS92NrShEYV2IBs41t7l15AfemBMPh_CI9d7w&amp;s</t>
  </si>
  <si>
    <t>https://encrypted-tbn0.gstatic.com/images?q=tbn:ANd9GcRz1cncBxMQqZYULO9agfvjTF3iJkAm-0myFg&amp;s</t>
  </si>
  <si>
    <t>Fécula de mandioca x 5Kg</t>
  </si>
  <si>
    <t>https://miserdiet.com.ar/wp-content/uploads/2022/09/fecula-de-mandioca.webp</t>
  </si>
  <si>
    <t>Harina de arroz x 5Kg</t>
  </si>
  <si>
    <t>https://www.mayoristadelegumbres.com.ar/wp-content/uploads/2020/05/harina-de-arroz.jpg</t>
  </si>
  <si>
    <t>Harina de algarroba x 1Kg MAYANA SIN TACC</t>
  </si>
  <si>
    <t>https://tienda.distribuidoraelcriollo.com/productos/2173.jpg</t>
  </si>
  <si>
    <t>Kalena Roja Elaborada con palo</t>
  </si>
  <si>
    <t>Yerbas</t>
  </si>
  <si>
    <t>https://acdn-us.mitiendanube.com/stores/001/172/573/products/yerba-mate-kalena1-3211f4e93042469e3d15904280252761-1024-1024.webp</t>
  </si>
  <si>
    <t>Kalena Celeste Elaborada sin palo</t>
  </si>
  <si>
    <t>https://cdn.newgarden.com.ar/media/catalog/product/cache/dda7253a1a2f6711745de410175d10f8/y/e/yerba-mate-despalada-suave-kalena-500-g-sin-tacc.jpg</t>
  </si>
  <si>
    <t>YERBA ROAPIPO SUAVE / TRADICIONAL 500gr Unidad</t>
  </si>
  <si>
    <t>https://cdn.newgarden.com.ar/media/catalog/product/cache/dda7253a1a2f6711745de410175d10f8/y/e/yerba-organica-suave-roapipo-x-500-g.jpg</t>
  </si>
  <si>
    <t>YERBA ROAPIPO SUAVE / TRADICIONAL  1 kgUnidad</t>
  </si>
  <si>
    <t>https://cdn.newgarden.com.ar/media/catalog/product/cache/dda7253a1a2f6711745de410175d10f8/y/e/yerba-organica-suave-roapipo-1-kg.jpg</t>
  </si>
  <si>
    <t>JESPER TRADICIONAL (ROJA)</t>
  </si>
  <si>
    <t>POR UNIDAD</t>
  </si>
  <si>
    <t>https://d3ugyf2ht6aenh.cloudfront.net/stores/001/176/840/products/ym-jesper-tradicional-500gr-001-20da9d30e275ad318216523771807996-640-0.webp</t>
  </si>
  <si>
    <t>JESPER ORGÁNICA  (AMARILLA)</t>
  </si>
  <si>
    <t>https://tse4.mm.bing.net/th?id=OIP.DTRt-dXsSsTT1lBhpLPZ7gHaHa&amp;pid=Api&amp;P=0&amp;h=180</t>
  </si>
  <si>
    <t>JESPER YERBA MATE CON  HIERBAS (VERDE)</t>
  </si>
  <si>
    <t>https://d2r9epyceweg5n.cloudfront.net/stores/001/705/896/products/yerba-mate-jesper-compuesta-con-te-verde-500g1-9a6e26f805a98132a616231549794860-640-0.jpg</t>
  </si>
  <si>
    <t>LEGADO ORGANICA</t>
  </si>
  <si>
    <t>https://tse4.mm.bing.net/th?id=OIP.n9-T2Os4RPn8oLluV2nFpAAAAA&amp;pid=Api&amp;P=0&amp;h=180</t>
  </si>
  <si>
    <t xml:space="preserve">Fibra Lasfor x 1kg       </t>
  </si>
  <si>
    <t>Cereal</t>
  </si>
  <si>
    <t>Mermelada Los Carolinos  Ciruela/Naranja/Zapallo/Durazno/Tomate/Higo</t>
  </si>
  <si>
    <t>Mermeladas</t>
  </si>
  <si>
    <t>https://http2.mlstatic.com/D_NQ_NP_2X_919861-MLA72618726265_112023-F.webp</t>
  </si>
  <si>
    <t>Mermelada  Frutilla/Frutos Rojos/Arandanos</t>
  </si>
  <si>
    <t>https://d22fxaf9t8d39k.cloudfront.net/cca33aafd7869cbe5ba0a2754ceb3c95195abdfd4c3f12773805881517bb6c3732002.webp</t>
  </si>
  <si>
    <t>Mermelada La Tranquilina Arándano Light</t>
  </si>
  <si>
    <t>https://latranquilina.com/wp-content/uploads/2025/07/Arandano-sin-azucar-300x300.png</t>
  </si>
  <si>
    <t>Mermelada La Tranquilina Ciruela Light</t>
  </si>
  <si>
    <t>https://latranquilina.com/wp-content/uploads/2025/07/Ciruela-sin-azucar-300x300.png</t>
  </si>
  <si>
    <t>Mermelada La Tranquilina Durazno Light</t>
  </si>
  <si>
    <t>https://latranquilina.com/wp-content/uploads/2025/07/Durazno-sin-azucar-300x300.png</t>
  </si>
  <si>
    <t>Mermelada La Tranquilina Frambuesa Light</t>
  </si>
  <si>
    <t>https://latranquilina.com/wp-content/uploads/2025/07/Frambuesa-sin-azucar-300x300.png</t>
  </si>
  <si>
    <t>Mermelada La Tranquilina Frutilla Light</t>
  </si>
  <si>
    <t>https://latranquilina.com/wp-content/uploads/2025/07/Frutilla-sin-azucar-300x300.png</t>
  </si>
  <si>
    <t>Mermelada La Tranquilina Frutos del Bosque Light</t>
  </si>
  <si>
    <t>https://latranquilina.com/wp-content/uploads/2025/07/Frutos-del-bosque-sin-azucar-300x300.png</t>
  </si>
  <si>
    <t>Mermelada La Tranquilina Higo Light</t>
  </si>
  <si>
    <t>https://latranquilina.com/wp-content/uploads/2025/08/higos-sin-azucar-300x300.png</t>
  </si>
  <si>
    <t>Mermelada La Tranquilina Citricos (Limón, pomelo, naranja) light</t>
  </si>
  <si>
    <t>https://latranquilina.com/wp-content/uploads/2025/07/3-Citricos-sin-azucar-300x300.png</t>
  </si>
  <si>
    <t>Mermelada La Tranquilina Manzana Light</t>
  </si>
  <si>
    <t>https://latranquilina.com/wp-content/uploads/2025/07/manzana-lightDSC_4420-300x300.png</t>
  </si>
  <si>
    <t>Mermelada La Tranquilina Pera Light</t>
  </si>
  <si>
    <t>Mermelada</t>
  </si>
  <si>
    <t>https://latranquilina.com/wp-content/uploads/2025/07/pera-lightDSC_4433-300x300.png</t>
  </si>
  <si>
    <t>Mermelada La Tranquilina Membrillo Light</t>
  </si>
  <si>
    <t>https://latranquilina.com/wp-content/uploads/2025/08/membrillo-300x300.png</t>
  </si>
  <si>
    <t>Mermelada La Tranquilina Naranja Light</t>
  </si>
  <si>
    <t>https://latranquilina.com/wp-content/uploads/2025/07/naranja-lightDSC_4435-300x300.png</t>
  </si>
  <si>
    <t>Mermelada La Tranquilina Kiwi Light</t>
  </si>
  <si>
    <t>https://latranquilina.com/wp-content/uploads/2025/07/kiwi-lightDSC_4421-300x300.png</t>
  </si>
  <si>
    <t>Mermelada La Tranquilina Mango Light</t>
  </si>
  <si>
    <t>https://latranquilina.com/wp-content/uploads/2025/07/mango-lith-DSC_4423-300x300.png</t>
  </si>
  <si>
    <t>Mermelada La Tranquilina Maracuyá Light</t>
  </si>
  <si>
    <t>https://latranquilina.com/wp-content/uploads/2025/07/Maracuya-sin-azucar-300x300.png</t>
  </si>
  <si>
    <t>Mermelada La Tranquilina Rosa Mosqueta Light</t>
  </si>
  <si>
    <t>https://latranquilina.com/wp-content/uploads/2025/07/rosa-mosqueta-lightDSC_4413-300x300.png</t>
  </si>
  <si>
    <t>Miel Aldeva. Envase vidrio</t>
  </si>
  <si>
    <t>Miel</t>
  </si>
  <si>
    <t>https://frutosare.com.ar/wp-content/uploads/2017/03/miel-pura-aldeva.jpg</t>
  </si>
  <si>
    <t>Miel Pura Nani Multifloral 1kg</t>
  </si>
  <si>
    <t>https://encrypted-tbn0.gstatic.com/images?q=tbn:ANd9GcSpI_ERyqOCsluKvGWWjXtp3XNCv-EEQuzVMw&amp;s</t>
  </si>
  <si>
    <t>Miel Pura Nani Multifloral 500g</t>
  </si>
  <si>
    <t>Miel Entrenut. Envase Vidrio. Líquida o Cremosa</t>
  </si>
  <si>
    <t>https://acdn-us.mitiendanube.com/stores/801/315/products/dsc097931-39090b0594f74fbc3a16580093471790-1024-1024.webp</t>
  </si>
  <si>
    <t>Pasta de Mani Entrenuts Natural/Crocante</t>
  </si>
  <si>
    <t>Pasta de Mani</t>
  </si>
  <si>
    <t>https://encrypted-tbn0.gstatic.com/images?q=tbn:ANd9GcRY810Vt2WyDg5IFqNq80e2pXb7ez55V5mcIw&amp;s</t>
  </si>
  <si>
    <t>Pasta de Mani Entrenuts Proteica Cookies &amp; cream/ Salted Caramel</t>
  </si>
  <si>
    <t>https://distribuidorafresh.com.ar/wp-content/uploads/2024/04/pasta-mani-salted-caramel-protein.webp</t>
  </si>
  <si>
    <t>Aceite de Oliva Sol Cuyano 500ml</t>
  </si>
  <si>
    <t>Aceites</t>
  </si>
  <si>
    <t>https://encrypted-tbn0.gstatic.com/images?q=tbn:ANd9GcSP8l0GvNsOPizBdbH2eDO_VNKcQN1PUixOEA&amp;s</t>
  </si>
  <si>
    <t xml:space="preserve">Aceite de Oliva Extra Virgen Blend x 900cc </t>
  </si>
  <si>
    <t>Aceite de Coco Entrenuts x 1000cc Neutro</t>
  </si>
  <si>
    <t>https://http2.mlstatic.com/D_NQ_NP_2X_780003-MLA88118277989_072025-F.webp</t>
  </si>
  <si>
    <t>Aceite de Coco Entrenuts x 500cc Neutro</t>
  </si>
  <si>
    <t>https://acdn-us.mitiendanube.com/stores/002/268/228/products/aceite-de-coco-neutro-entrenuts-500cc-vegano-libre-de-gluten-f15c97bb5bb04681f517477570471289-1024-1024.png</t>
  </si>
  <si>
    <t>Aceite de Coco Entrenuts x 360cc Neutro</t>
  </si>
  <si>
    <t>https://warneke.com.ar/wp-content/uploads/2023/05/aceitecoco-600x601.png</t>
  </si>
  <si>
    <t>Aceite de Coco Entrenuts x 360cc Virgen</t>
  </si>
  <si>
    <t>https://acdn-us.mitiendanube.com/stores/001/326/060/products/aceite-de-coco-virgen-organico-entrenuts-sin-tacc-360g1-665c91f99d43c6b6e916760505815272-1024-1024.jpg</t>
  </si>
  <si>
    <t>Aceite de Coco Entrenuts x 200cc Neutro</t>
  </si>
  <si>
    <t>https://http2.mlstatic.com/D_NQ_NP_934251-MLA76635794822_062024-O.webp</t>
  </si>
  <si>
    <t>Aceite de Coco Entrenuts x 200cc Virgen</t>
  </si>
  <si>
    <t>https://laduvalina.com.ar/wp-content/uploads/2023/03/ACCCC.webp</t>
  </si>
  <si>
    <t>Aceite de Coco MCT Trigliceridos de cadena media 250cc</t>
  </si>
  <si>
    <t>https://greenco.com.ar/Content/images/articulos/ENTR28_1.jpg</t>
  </si>
  <si>
    <t>Aceite CBD MEDICINAL  ROYAL 10ML al 39,99%</t>
  </si>
  <si>
    <t>https://d2j6dbq0eux0bg.cloudfront.net/images/24120122/2384747864.jpg</t>
  </si>
  <si>
    <t>Vinagre Sidra de Manzana Organico 250cm3</t>
  </si>
  <si>
    <t>Viangre</t>
  </si>
  <si>
    <t>https://acdn.mitiendanube.com/stores/750/800/products/vinagre-de-manzana-organico-pampa-gourmet-250ml-templeorganico1-097a17c1cbb6addb8516613479371104-640-0.png</t>
  </si>
  <si>
    <t>Manteca clarificada Ghee Entrenetus</t>
  </si>
  <si>
    <t>Ghee</t>
  </si>
  <si>
    <t>https://http2.mlstatic.com/D_NQ_NP_756527-MLA49314673527_032022-O.webp</t>
  </si>
  <si>
    <t>Aceite de Orégano Gotas</t>
  </si>
  <si>
    <t>https://d22fxaf9t8d39k.cloudfront.net/3ac5d3be0ea9578415b1cade887e338f6d2384b9ccaf5ecf8c8d54cfee8164c180985.jpeg</t>
  </si>
  <si>
    <t>Almendras con chocolate 1kg Los Carolinos</t>
  </si>
  <si>
    <t>Confituras</t>
  </si>
  <si>
    <t>https://cdn.newgarden.com.ar/media/catalog/product/cache/dda7253a1a2f6711745de410175d10f8/a/l/almendra-con-chocolate-con-leche_1.jpg</t>
  </si>
  <si>
    <t>Maní con Chocolate 1kg Los Carolinos</t>
  </si>
  <si>
    <t>https://cdn.newgarden.com.ar/media/catalog/product/cache/dda7253a1a2f6711745de410175d10f8/m/a/mani-con-chocolate-1kg.jpg</t>
  </si>
  <si>
    <t>Pasas con Chocolate 1kg Los Carolinos</t>
  </si>
  <si>
    <t>https://cdn.newgarden.com.ar/media/catalog/product/cache/dda7253a1a2f6711745de410175d10f8/p/a/pasas-de-uva-con-chocolate_1_1.jpg</t>
  </si>
  <si>
    <t>Cereal Cubierto con Chocolate 1kg Los Carolinos</t>
  </si>
  <si>
    <t>https://encrypted-tbn0.gstatic.com/images?q=tbn:ANd9GcSz2ZM94uX4DUx4vnTwdHp2COhpobgXxMIeLA&amp;s</t>
  </si>
  <si>
    <t>Garrapiñadas de mani AVILA 1kg</t>
  </si>
  <si>
    <t>https://tse1.mm.bing.net/th/id/OIP.eo1rusvZ54XxX90yna76NQHaH0?pid=Api&amp;P=0&amp;h=180</t>
  </si>
  <si>
    <t xml:space="preserve"> Garrapiñadas de almendras 500gr</t>
  </si>
  <si>
    <t>Chip de Chocolate semiamargo 1kg Alpino</t>
  </si>
  <si>
    <t>https://acdn-us.mitiendanube.com/stores/004/033/662/products/imagen-de-whatsapp-2024-08-01-a-las-07-36-03_d8839284-5163b50b9fb09dd33317225085844010-1024-1024.webp</t>
  </si>
  <si>
    <t>Chip de Chocolate blanco 1kg Alpino</t>
  </si>
  <si>
    <t>https://acdn-us.mitiendanube.com/stores/004/033/662/products/imagen-de-whatsapp-2024-08-01-a-las-08-08-36_308dd65b-4e6c33c9d98bc5636c17225105334782-1024-1024.webp</t>
  </si>
  <si>
    <t>Rocklets ARCOR 1kg</t>
  </si>
  <si>
    <t>https://encrypted-tbn0.gstatic.com/images?q=tbn:ANd9GcRCehLWM16X4ioBAgSe9h-JEHC4DMse-hJUkA&amp;s</t>
  </si>
  <si>
    <t>Coco rallado 1kg  MEDIUM FAT</t>
  </si>
  <si>
    <t>https://cloudfront-us-east-1.images.arcpublishing.com/lanacionpy/EF2RKX3FSFGFFM2SXUEYBH4OII.jpg</t>
  </si>
  <si>
    <t>Coco en escamas x 1kg</t>
  </si>
  <si>
    <t>https://tse3.mm.bing.net/th/id/OIP.gbONeVmkxyse-JRmf3baWgHaHa?pid=Api&amp;P=0&amp;h=180</t>
  </si>
  <si>
    <t>Stevia JUAL 125cc</t>
  </si>
  <si>
    <t>Endulzante</t>
  </si>
  <si>
    <t>https://aloejual.com.ar/294-large_default/edulcorante-natural-stevia-liquida-x-125-cc.jpg</t>
  </si>
  <si>
    <t>Stevia JUAL 250cc</t>
  </si>
  <si>
    <t>https://tse4.mm.bing.net/th/id/OIP.7OHFtc2RIcQ3IVegVZ4AgAHaHa?pid=Api&amp;P=0&amp;h=180</t>
  </si>
  <si>
    <t>Stevia JUAL 600cc</t>
  </si>
  <si>
    <t>https://tse4.mm.bing.net/th/id/OIP.vhVOGqNTG479BLdno9G5hAAAAA?pid=Api&amp;P=0&amp;h=180</t>
  </si>
  <si>
    <t>Azucar Mascabo BA LA JU 500gr.</t>
  </si>
  <si>
    <t>Azúcar</t>
  </si>
  <si>
    <t>https://cdn.newgarden.com.ar/media/catalog/product/cache/dda7253a1a2f6711745de410175d10f8/a/z/azucar-de-mascabo-balaju-x-500-gr.jpg</t>
  </si>
  <si>
    <t>Azucar Mascabo BA LA JU 5kg</t>
  </si>
  <si>
    <t>https://http2.mlstatic.com/D_NQ_NP_2X_986244-MLU72836482363_112023-F.webp</t>
  </si>
  <si>
    <t>Cacao amargo MAYANA SINTAC 1kg</t>
  </si>
  <si>
    <t>https://www.mayana.com.ar/wp-content/uploads/2020/05/CAC100.jpg</t>
  </si>
  <si>
    <t>Cacao amargo Alcalino MAYANA 1kg</t>
  </si>
  <si>
    <t>https://tse1.mm.bing.net/th/id/OIP.KSs4M9x5GRFtqmkHG_WY1wAAAA?pid=Api&amp;P=0&amp;h=180</t>
  </si>
  <si>
    <t>Azucar impalpable  MAYANA  SIN TAC 1kg</t>
  </si>
  <si>
    <t>https://tse1.mm.bing.net/th/id/OIP.oBlwL2SRFDZk5vit-x8ssQHaHa?pid=Api&amp;P=0&amp;h=180</t>
  </si>
  <si>
    <t>Gelatina sin sabor MAYANA SIN TACC</t>
  </si>
  <si>
    <t>https://tienda.distribuidoraelcriollo.com/productos/6970.jpg</t>
  </si>
  <si>
    <t xml:space="preserve">Flor de Jamaica x 250gr </t>
  </si>
  <si>
    <t>Flor seca</t>
  </si>
  <si>
    <t>https://tse1.mm.bing.net/th/id/OIP.inSrRuP0MP2EPYLJ105C2wHaHa?pid=Api&amp;P=0&amp;h=180</t>
  </si>
  <si>
    <t>Chocolate Alpino Tabletas 500gr Baño de Molde Semiamargo/con leche/blanco</t>
  </si>
  <si>
    <t>https://http2.mlstatic.com/D_NQ_NP_2X_878237-MLA54193486535_032023-F.webp</t>
  </si>
  <si>
    <t>Galletitas Celienergy Nuez Sin tacc x 130gr</t>
  </si>
  <si>
    <t>Galletitas</t>
  </si>
  <si>
    <t>https://tse1.mm.bing.net/th/id/OIP.EMXMHzE7x5gmSV4F0sai2AHaDr?pid=Api&amp;P=0&amp;h=180</t>
  </si>
  <si>
    <t>Galletitas Celienergy Cacao y mani Sin Tacc x 130gr</t>
  </si>
  <si>
    <t>https://tse2.mm.bing.net/th/id/OIP.AoY62p7Jq0xl0McSSfaWvwHaDr?pid=Api&amp;P=0&amp;h=180</t>
  </si>
  <si>
    <t xml:space="preserve">Galletitas Celienergy Nuez bañada en chocolate blanco Sin tacc x 170gr </t>
  </si>
  <si>
    <t>https://tse4.mm.bing.net/th/id/OIP.na3qQziv_R3yAGeWKt_VlQHaCh?pid=Api&amp;P=0&amp;h=180</t>
  </si>
  <si>
    <t>Galletitas Nutresan 250gr. sabor Coco</t>
  </si>
  <si>
    <t>https://almacencamposverdes.com.ar/wp-content/uploads/2018/04/1256.jpg</t>
  </si>
  <si>
    <t>Galletitas Nutresan 250gr. sabor Natural con miel</t>
  </si>
  <si>
    <t>https://aldeaecologica.com.ar/wp-content/uploads/2021/11/galletas-de-miel-naturales-nutresan-x-250g.webp</t>
  </si>
  <si>
    <t>Galletitas Nutresan 250gr. sabor Avena</t>
  </si>
  <si>
    <t>https://http2.mlstatic.com/D_NQ_NP_740629-MLA49647135246_042022-O.webp</t>
  </si>
  <si>
    <t>Galletitas Nutresan 250gr. sabor Algarroba</t>
  </si>
  <si>
    <t>https://encrypted-tbn0.gstatic.com/images?q=tbn:ANd9GcTKf1HgBbLzOLa0tOB7AbV9t6uKWOc7Odfvsw&amp;s</t>
  </si>
  <si>
    <t>Galletitas Nutresan 250gr. dulce trigo Naranja Apto Diabéticos</t>
  </si>
  <si>
    <t>https://aldeaecologica.com.ar/wp-content/uploads/2021/11/nutresan20dulce20trigo.jpg</t>
  </si>
  <si>
    <t>Galletitas Nutresan 250gr. dulce trigo LimónApto Diabéticos</t>
  </si>
  <si>
    <t>https://encrypted-tbn0.gstatic.com/images?q=tbn:ANd9GcQa9dUbZemVfWZFd-7qPUXZYKF6GE5u_sh_qw&amp;s</t>
  </si>
  <si>
    <t>Galletitas Avena, semillas de girasol y naranja/ 145gr</t>
  </si>
  <si>
    <t>Boccone</t>
  </si>
  <si>
    <t>https://productosboccone.com.ar/wp-content/uploads/2025/06/galletas-saludables-de-girasol-y-naranja-1536x1536.jpg</t>
  </si>
  <si>
    <t>Galletitas Avena y pasas de uva 145gr</t>
  </si>
  <si>
    <t>https://productosboccone.com.ar/wp-content/uploads/2025/06/galletas-saludables-de-pasas-de-uva-1536x1536.jpg</t>
  </si>
  <si>
    <t>Galletitas Avena, cacao y maní 145gr</t>
  </si>
  <si>
    <t>https://productosboccone.com.ar/wp-content/uploads/2025/06/galletas-saludables-de-cacao-y-mani-1536x1536.jpg</t>
  </si>
  <si>
    <t>Galletitas Avena, semillas de chía y limón 145gr</t>
  </si>
  <si>
    <t>https://productosboccone.com.ar/wp-content/uploads/2025/06/galletas-saludables-de-chia-y-limon-1536x1536.jpg</t>
  </si>
  <si>
    <t>Galletitas Avena y nuez 145 gr</t>
  </si>
  <si>
    <t>https://productosboccone.com.ar/wp-content/uploads/2025/06/galleta-saludable-de-nuez-1536x1536.jpg</t>
  </si>
  <si>
    <t>Galletitas Avena, chips de chocolate y coco 145 gr</t>
  </si>
  <si>
    <t>https://productosboccone.com.ar/wp-content/uploads/2025/06/galletas-saludables-chocolate-y-coco-1536x1536.jpg</t>
  </si>
  <si>
    <t>Mini Crackers 5 semillas</t>
  </si>
  <si>
    <t>https://encrypted-tbn0.gstatic.com/images?q=tbn:ANd9GcRMc5D-DiQWkeGzdVTd8H_kJ1qtRNAZlGgr9w&amp;s</t>
  </si>
  <si>
    <t>Brownie de Algarroba light 12 unidades</t>
  </si>
  <si>
    <t>Epuyen</t>
  </si>
  <si>
    <t>https://acdn-us.mitiendanube.com/stores/001/132/452/products/sem-titulo-631-129809f1339872469215894052064641-640-0.webp</t>
  </si>
  <si>
    <t>Galletitas Integrales Amapola</t>
  </si>
  <si>
    <t>Bastoni</t>
  </si>
  <si>
    <t>https://tse4.mm.bing.net/th/id/OIP.UmZ-1qa1BlSyQ4d8tuIUawHaJQ?pid=Api&amp;P=0&amp;h=180</t>
  </si>
  <si>
    <t>Galletitas Integrales Aceituna</t>
  </si>
  <si>
    <t>https://funnyveggie.com.ar/wp-content/uploads/2025/07/1753231358737.jpg</t>
  </si>
  <si>
    <t>Galletitas Integrales Caprese</t>
  </si>
  <si>
    <t>https://acdn.mitiendanube.com/stores/001/129/542/products/bastoni-caprese1-d87071a4272c71c41616485756596947-1024-1024.jpg</t>
  </si>
  <si>
    <t>Galletitas Keto Parmesano</t>
  </si>
  <si>
    <t>https://distribuidoracabane.com.ar/img/articulos/BAS09.JPG</t>
  </si>
  <si>
    <t>Galletitas Keto Parmesano y sésamo</t>
  </si>
  <si>
    <t>https://funnyveggie.com.ar/wp-content/uploads/2024/03/963_n.jpg</t>
  </si>
  <si>
    <t>Pan Rallado Keto</t>
  </si>
  <si>
    <t>https://http2.mlstatic.com/D_NQ_NP_2X_634562-MLA91474913374_092025-F.webp</t>
  </si>
  <si>
    <t>Brownie con avena y mascabo light 12 unidades</t>
  </si>
  <si>
    <t>https://http2.mlstatic.com/D_NQ_NP_678360-MLA46691675045_072021-O.webp</t>
  </si>
  <si>
    <t>Alfajor Cacao y mani x 6 unidades</t>
  </si>
  <si>
    <t>Celienergy Sin Tacc</t>
  </si>
  <si>
    <t>https://d22fxaf9t8d39k.cloudfront.net/83753a7055b1240f1c6153b515cffda922f5fa534c1d9b00a42dfad0df9f504d192.jpg</t>
  </si>
  <si>
    <t>Alfajores Nuez y dulce de leche x 6 unidades</t>
  </si>
  <si>
    <t>https://http2.mlstatic.com/D_NQ_NP_2X_900944-MLA76683461228_062024-F.webp</t>
  </si>
  <si>
    <t>Alfajores Algarroba y semillas de zapallo x 6 unidades</t>
  </si>
  <si>
    <t>https://http2.mlstatic.com/D_NQ_NP_2X_714415-MLA76683867590_062024-F.webp</t>
  </si>
  <si>
    <t>Granolas Archimboldo Tropical 1kg</t>
  </si>
  <si>
    <t>Granolas</t>
  </si>
  <si>
    <t>https://dieteticaviamonte.com.ar/wp-content/uploads/2024/10/20241019_105450.jpg</t>
  </si>
  <si>
    <t>Granolas Archimboldo Premium crujiente 1kg</t>
  </si>
  <si>
    <t>https://miserdiet.com.ar/wp-content/uploads/2022/08/premium.jpg</t>
  </si>
  <si>
    <t>Granolas Archimboldo crocante con manzana 1kg</t>
  </si>
  <si>
    <t>https://http2.mlstatic.com/D_NQ_NP_912729-MLA82637033206_032025-O.webp</t>
  </si>
  <si>
    <t>Granolas Archimboldo Natural 1kg</t>
  </si>
  <si>
    <t>https://patriarcaonline.com.ar/wp-content/uploads/2024/03/archi.jpg</t>
  </si>
  <si>
    <t>Granolas Archimboldo Energética 1kg</t>
  </si>
  <si>
    <t>https://miserdiet.com.ar/wp-content/uploads/2022/10/Granola-energetica.jpeg</t>
  </si>
  <si>
    <t>Granola Dulce de Leche 750gr (Granola, Dulce de Leche, Maní, Nueces, Miel)</t>
  </si>
  <si>
    <t>Yaka Mush</t>
  </si>
  <si>
    <t>https://warneke.com.ar/wp-content/uploads/2025/01/removal.ai_8829012f-98ea-4724-b641-b50d44997683-vaka-mush-2.png</t>
  </si>
  <si>
    <t>Granola Vital 750gr (Granola, Maní, Quinoa, Almendras, Miel)</t>
  </si>
  <si>
    <t>https://warneke.com.ar/wp-content/uploads/2025/01/removal.ai_c659e21f-7119-4f20-a2df-0a772d06d4bc-vaka-mush-3.png</t>
  </si>
  <si>
    <t>Granola Terranova 750gr (Granola, Trigo Sarraceno, Algarroba, Arandanos, Quinoa, Coco)</t>
  </si>
  <si>
    <t>https://yakamush.com.ar/wp-content/uploads/2024/11/Terranova.png</t>
  </si>
  <si>
    <t>Granola Cranberry &amp; Coco 400gr.</t>
  </si>
  <si>
    <t>Kuati</t>
  </si>
  <si>
    <t>https://acdn-us.mitiendanube.com/stores/004/652/367/products/granola-cranberrycoco-renderweb-0021514a49a4c8710917292464209220-640-0.png</t>
  </si>
  <si>
    <t>Granola Pasta de Maní Fitness 400gr.</t>
  </si>
  <si>
    <t>https://acdn-us.mitiendanube.com/stores/004/652/367/products/granola-pasta-de-mani-renderweb-5b4e51279cc52917e017292482977072-640-0.png</t>
  </si>
  <si>
    <t>Granola Choco Crunch 400gr.</t>
  </si>
  <si>
    <t>https://acdn-us.mitiendanube.com/stores/004/652/367/products/granola-chococrunch-renderweb-4e607b13e29f16453f17290095727316-640-0.png</t>
  </si>
  <si>
    <t>Granola Original 400gr.</t>
  </si>
  <si>
    <t>https://acdn-us.mitiendanube.com/stores/004/652/367/products/granola-original-renderweb-cff11302e3d24cd7b617292452319764-640-0.png</t>
  </si>
  <si>
    <t>Leche de Almendras Cocoon sin azucar 1L.</t>
  </si>
  <si>
    <t>Cocoon</t>
  </si>
  <si>
    <t>https://http2.mlstatic.com/D_NQ_NP_2X_615496-MLA79828191335_102024-F.webp</t>
  </si>
  <si>
    <t>Barra de Cereal de dulce de leche/energético/protéico/trigo sarraceno (1 unidad)</t>
  </si>
  <si>
    <t>https://warneke.com.ar/wp-content/uploads/2025/01/removal.ai_ad88d9d2-a2f5-4805-ab75-23673185330f-vaka-mush-4.png</t>
  </si>
  <si>
    <t>Barra Keto</t>
  </si>
  <si>
    <t>https://mayorista-semillaviva.com.ar/webfiles/semillaviva/productos/18174764/2_1000x1000.jpg</t>
  </si>
  <si>
    <t>Calcio cubano x90gr (x unidad)</t>
  </si>
  <si>
    <t>Productos Peruanos</t>
  </si>
  <si>
    <t>https://acdn-us.mitiendanube.com/stores/002/872/230/products/044-1024-1-30a422444fc4d2ae8017214258920463-640-0.webp</t>
  </si>
  <si>
    <t>Cartílago de Tiburon x 90 gr</t>
  </si>
  <si>
    <t>https://encrypted-tbn0.gstatic.com/images?q=tbn:ANd9GcREwW0STr1a4uVfngVcjZ1XZeYegJMoqPAxNw&amp;s</t>
  </si>
  <si>
    <t>Moringa en Polvo x 90gr</t>
  </si>
  <si>
    <t>https://acdn-us.mitiendanube.com/stores/001/918/710/products/tienda-nube-1024-1024px-2023-07-26t090604-7221-69d5354a3fba0383cb16903743823105-480-0.png</t>
  </si>
  <si>
    <t>Spirulina en Polvo x 90gr</t>
  </si>
  <si>
    <t>https://acdn-us.mitiendanube.com/stores/002/872/230/products/spirulina-2-02f513871dc82abe28169844949435381-268c56de67d480b8c316984496049923-480-0.jpeg</t>
  </si>
  <si>
    <t>Colageno en Polvo x 90gr</t>
  </si>
  <si>
    <t>https://img.freepik.com/fotos-premium/poder-colageno-polvo-juventud-belleza_188290-3356.jpg</t>
  </si>
  <si>
    <t>Maca Kalpa 500gr</t>
  </si>
  <si>
    <t>https://d22fxaf9t8d39k.cloudfront.net/0de43af32af5317a86d64bb44ad87c997dcab1d9aa5e433be85d16bb7d51b2c311222.jpeg</t>
  </si>
  <si>
    <t>Maca Negra Preimun x 100gr</t>
  </si>
  <si>
    <t>https://http2.mlstatic.com/D_NQ_NP_2X_941233-MLA74873969092_032024-F.webp</t>
  </si>
  <si>
    <t>Harina de Vino</t>
  </si>
  <si>
    <t>Producto Natural</t>
  </si>
  <si>
    <t>https://encrypted-tbn0.gstatic.com/images?q=tbn:ANd9GcQAYnYgntVp1I3qr3xohtk6K0iayJ4QdKnR1Q&amp;s</t>
  </si>
  <si>
    <t>Te Matcha 50gr</t>
  </si>
  <si>
    <t>https://cdn.newgarden.com.ar/media/catalog/product/cache/dda7253a1a2f6711745de410175d10f8/t/e/te-verde-molido_2.jpg</t>
  </si>
  <si>
    <t>Sal de himalaya fina 1kg</t>
  </si>
  <si>
    <t>Sal</t>
  </si>
  <si>
    <t>https://http2.mlstatic.com/D_NQ_NP_2X_626802-MLA46127403562_052021-F.webp</t>
  </si>
  <si>
    <t>Bicarbonato x 1kg Consultar por menos cantidad</t>
  </si>
  <si>
    <t>https://tse4.mm.bing.net/th/id/OIP.1t-7Smb7l2WucTGhJNsWeAHaFj?pid=Api&amp;P=0&amp;h=180</t>
  </si>
  <si>
    <t>Jugo Cuarto Creciente LIMONADA Menta y Jengibre 1,5l. x 3 botellas</t>
  </si>
  <si>
    <t>Jugos</t>
  </si>
  <si>
    <t>https://cuartocreciente.com.ar/wp-content/uploads/2025/07/web_cuarto-creciente-56.jpg</t>
  </si>
  <si>
    <t>2 ARÁNDANOS (30)</t>
  </si>
  <si>
    <t>ORIGINAL GREEN</t>
  </si>
  <si>
    <t>https://http2.mlstatic.com/D_Q_NP_2X_746022-MLA88996864769_072025-R.webp</t>
  </si>
  <si>
    <t>ACIDO HIALURÓNICO (30)</t>
  </si>
  <si>
    <t>https://http2.mlstatic.com/D_NQ_NP_871624-MLU76655258865_052024-O.webp</t>
  </si>
  <si>
    <t>CALCIO + VIT D (60)</t>
  </si>
  <si>
    <t>https://originalgreen.com.ar/wp-content/uploads/2020/05/CALCIO-2-2-1024x1024.jpg</t>
  </si>
  <si>
    <t>CITRATO DE MAGNESIO (60)</t>
  </si>
  <si>
    <t>https://originalgreen.com.ar/wp-content/uploads/2024/03/citratoMagn-600x600.webp</t>
  </si>
  <si>
    <t>COLLAGEN SUPPORT (30)</t>
  </si>
  <si>
    <t>https://http2.mlstatic.com/D_NQ_NP_2X_767569-MLU75435958784_042024-F.webp</t>
  </si>
  <si>
    <t xml:space="preserve">HONGO MELENA DE LEON </t>
  </si>
  <si>
    <t>https://originalgreen.com.ar/wp-content/uploads/2024/11/HongoMelenaLeon.webp</t>
  </si>
  <si>
    <t>MAGNESIO PLUS (60)</t>
  </si>
  <si>
    <t>https://originalgreen.com.ar/wp-content/uploads/2018/06/Magnesio-1-1024x1024.jpg</t>
  </si>
  <si>
    <t>OMEGA 3 + CHIA (30)</t>
  </si>
  <si>
    <t>PROBIOTICOS OG (30)</t>
  </si>
  <si>
    <t>https://http2.mlstatic.com/D_NQ_NP_2X_826180-MLU76799004075_062024-F.webp</t>
  </si>
  <si>
    <t>Q10 (30)</t>
  </si>
  <si>
    <t>https://http2.mlstatic.com/D_NQ_NP_2X_627324-MLU78494771798_082024-F.webp</t>
  </si>
  <si>
    <t>ULTRA RESVERATROL (30)</t>
  </si>
  <si>
    <t>https://http2.mlstatic.com/D_NQ_NP_2X_960415-MLU78537977897_082024-F.webp</t>
  </si>
  <si>
    <t>VITAMINA B12 (20)</t>
  </si>
  <si>
    <t>https://originalgreen.com.ar/wp-content/uploads/2022/12/B12-300x300.jpg</t>
  </si>
  <si>
    <t>VITAMINA C (60)</t>
  </si>
  <si>
    <t>https://originalgreen.com.ar/wp-content/uploads/2018/06/VITAC-2.jpg</t>
  </si>
  <si>
    <t>VITAMINA D (30)</t>
  </si>
  <si>
    <t>https://http2.mlstatic.com/D_NQ_NP_2X_724606-MLU78270338665_082024-F.webp</t>
  </si>
  <si>
    <t>VITAMINA E (30)</t>
  </si>
  <si>
    <t>https://originalgreen.com.ar/wp-content/uploads/2020/05/VITAE-2-600x600.jpg</t>
  </si>
  <si>
    <t xml:space="preserve">VITAMINA K2 + D3 (30) </t>
  </si>
  <si>
    <t>https://originalgreen.com.ar/wp-content/uploads/2024/08/VITAMINA-K-600x600.webp</t>
  </si>
  <si>
    <t xml:space="preserve">CLOROFILA (CAPSULASX30) </t>
  </si>
  <si>
    <t>https://originalgreen.com.ar/wp-content/uploads/2018/06/CLORO30-1-300x300.jpg</t>
  </si>
  <si>
    <t>60 CLOROFILA (CAPSULASX60)</t>
  </si>
  <si>
    <t>https://originalgreen.com.ar/wp-content/uploads/2020/10/CLORO60-2.jpg</t>
  </si>
  <si>
    <t>CITRATO DE POTASIO</t>
  </si>
  <si>
    <t>https://http2.mlstatic.com/D_NQ_NP_2X_805826-MLA88800472652_082025-F.webp</t>
  </si>
  <si>
    <t>HEPAT (60)</t>
  </si>
  <si>
    <t>https://originalgreen.com.ar/wp-content/uploads/2018/06/HEPAT-3-300x300.jpg</t>
  </si>
  <si>
    <t>MULTIVIT (30)</t>
  </si>
  <si>
    <t>https://originalgreen.com.ar/wp-content/uploads/2018/06/MULTI-2-300x300.jpg</t>
  </si>
  <si>
    <t>DEPURA T (30)</t>
  </si>
  <si>
    <t>https://originalgreen.com.ar/wp-content/uploads/2018/10/DEPURA-3.jpg</t>
  </si>
  <si>
    <t>DIAB 2 (60)</t>
  </si>
  <si>
    <t>https://originalgreen.com.ar/wp-content/uploads/2018/06/DIAB-1.jpg</t>
  </si>
  <si>
    <t xml:space="preserve">ISOFLAVONAS </t>
  </si>
  <si>
    <t>https://http2.mlstatic.com/D_NQ_NP_2X_782087-MLA81837175431_012025-F.webp</t>
  </si>
  <si>
    <t>https://newgarden.com.ar/</t>
  </si>
  <si>
    <t xml:space="preserve"> Mix Premiun gourmet</t>
  </si>
  <si>
    <t>6 kg</t>
  </si>
  <si>
    <t>Quinoa</t>
  </si>
  <si>
    <t>1kg</t>
  </si>
  <si>
    <t>Mani Tostado sin sal</t>
  </si>
  <si>
    <t>Mix Criollo o runner con banan</t>
  </si>
  <si>
    <t>2kg</t>
  </si>
  <si>
    <t>Harina de Almendras sin piel</t>
  </si>
  <si>
    <t>Mermelada Los Carolinos Durazno</t>
  </si>
  <si>
    <t xml:space="preserve">Nuez Mariposa </t>
  </si>
  <si>
    <t>Mani Tostado con sal</t>
  </si>
  <si>
    <t>3kg</t>
  </si>
  <si>
    <t>Pistachos con cascara</t>
  </si>
  <si>
    <t>Harina de Almendras con piel</t>
  </si>
  <si>
    <t>Bananas disecadas</t>
  </si>
  <si>
    <t>Harina de coco</t>
  </si>
  <si>
    <t>Aceite de coco neutro x 360</t>
  </si>
  <si>
    <t>Chip chocolate</t>
  </si>
  <si>
    <t>Galletitas Nutresan sabor coco</t>
  </si>
  <si>
    <t>Galletitas Nutresan sabor algarroba</t>
  </si>
  <si>
    <t>castañas caju</t>
  </si>
  <si>
    <t>arandanos</t>
  </si>
  <si>
    <t>4kg</t>
  </si>
  <si>
    <t>mix semillas</t>
  </si>
  <si>
    <t>pasas con chocolate</t>
  </si>
  <si>
    <t>castañas para</t>
  </si>
  <si>
    <t>nueces pecan</t>
  </si>
  <si>
    <t>id</t>
  </si>
  <si>
    <t>cliente</t>
  </si>
  <si>
    <t>Cecilia  (Lauti)</t>
  </si>
  <si>
    <t>Marianela (Laure)</t>
  </si>
  <si>
    <t>Marcela Rivera</t>
  </si>
  <si>
    <t>Rosario</t>
  </si>
  <si>
    <t>Saha</t>
  </si>
  <si>
    <t>Raul</t>
  </si>
  <si>
    <t>Gustavo</t>
  </si>
  <si>
    <t>Gabi</t>
  </si>
  <si>
    <t>Luciano</t>
  </si>
  <si>
    <t>Auri</t>
  </si>
  <si>
    <t>Maiju</t>
  </si>
  <si>
    <t>Luz</t>
  </si>
  <si>
    <t>Gla</t>
  </si>
  <si>
    <t>Karina</t>
  </si>
  <si>
    <t>Vero</t>
  </si>
  <si>
    <t>Agustina Vermal</t>
  </si>
  <si>
    <t>Marianela Area 6</t>
  </si>
  <si>
    <t>Marcela Rivera Area 2</t>
  </si>
  <si>
    <t>Guadalupe Area 1</t>
  </si>
  <si>
    <t>Marcela Rivaera Area 2</t>
  </si>
  <si>
    <t>Nori</t>
  </si>
  <si>
    <t>Nati gym</t>
  </si>
  <si>
    <t>Mama Nori</t>
  </si>
  <si>
    <t>Agustina Arroyo</t>
  </si>
  <si>
    <t>Vale</t>
  </si>
  <si>
    <t>Pato</t>
  </si>
  <si>
    <t>Aldana Area 2</t>
  </si>
  <si>
    <t>Mariana Area 7 Lote 253</t>
  </si>
  <si>
    <t>Constanza Area 1</t>
  </si>
  <si>
    <t>Adriana Davi A. 1 L. 222</t>
  </si>
  <si>
    <t>Paola Area 10 Lote 360</t>
  </si>
  <si>
    <t>Marta</t>
  </si>
  <si>
    <t>Nati Conde</t>
  </si>
  <si>
    <t>Nati Cuñada Nori</t>
  </si>
  <si>
    <t>Suegra Cuñada Nori</t>
  </si>
  <si>
    <t>Marina Moriconi</t>
  </si>
  <si>
    <t>Laura Area 10</t>
  </si>
  <si>
    <t>Dora area 2</t>
  </si>
  <si>
    <t>Juan pablo (vallese)</t>
  </si>
  <si>
    <t>Pao Migliaro</t>
  </si>
  <si>
    <t>Gisella area 13</t>
  </si>
  <si>
    <t>Candela</t>
  </si>
  <si>
    <t>Cecilia</t>
  </si>
  <si>
    <t>Florencia Cardozzo</t>
  </si>
  <si>
    <t>Ursula Area 11</t>
  </si>
  <si>
    <t>Silvia</t>
  </si>
  <si>
    <t>Iris Area 10 Lote 171</t>
  </si>
  <si>
    <t>Lucia Area 9 Lote 229</t>
  </si>
  <si>
    <t>Claudia Area 9 Lote 212</t>
  </si>
  <si>
    <t>Victor Area 1 Lote 251</t>
  </si>
  <si>
    <t>Fernanda Area 9 Lote 246</t>
  </si>
  <si>
    <t xml:space="preserve">Blanca </t>
  </si>
  <si>
    <t>Erica Area 7 Lote 74</t>
  </si>
  <si>
    <t>Fernanda Area 2</t>
  </si>
  <si>
    <t>Fernando Messina Area 11</t>
  </si>
  <si>
    <t>Semana</t>
  </si>
  <si>
    <t>Producto</t>
  </si>
  <si>
    <t>Costo</t>
  </si>
  <si>
    <t>Precio 
Unitario</t>
  </si>
  <si>
    <t>Existe 
Un 
Pedido</t>
  </si>
  <si>
    <t>TOTAL</t>
  </si>
  <si>
    <t>TOTAL SEMANAL</t>
  </si>
  <si>
    <t xml:space="preserve"> </t>
  </si>
  <si>
    <t>Cliente</t>
  </si>
  <si>
    <t>Cantidad</t>
  </si>
  <si>
    <t>Precio Unitario</t>
  </si>
  <si>
    <t>Total</t>
  </si>
  <si>
    <t>Notas (lugar)</t>
  </si>
  <si>
    <t>Area 10 Lote 268 SS</t>
  </si>
  <si>
    <t>pago</t>
  </si>
  <si>
    <t>15/3/25</t>
  </si>
  <si>
    <t>Area 6 Lote 233 SS</t>
  </si>
  <si>
    <t>Area 6 Lote 234 SS</t>
  </si>
  <si>
    <t>17/3/25</t>
  </si>
  <si>
    <t>Area 2 Lote 6 SS</t>
  </si>
  <si>
    <t>Pago</t>
  </si>
  <si>
    <t>2 kg</t>
  </si>
  <si>
    <t>Separadas1kg y 1kg</t>
  </si>
  <si>
    <t>Mix Premium gourmet (cajú, alm</t>
  </si>
  <si>
    <t>Area 1 Lote 479</t>
  </si>
  <si>
    <t>Marina yo</t>
  </si>
  <si>
    <t>Mani con sal</t>
  </si>
  <si>
    <t>1gr</t>
  </si>
  <si>
    <t>Harina de Almendras</t>
  </si>
  <si>
    <t>Fecula de Mandioca</t>
  </si>
  <si>
    <t>1 unidad</t>
  </si>
  <si>
    <t>1 una</t>
  </si>
  <si>
    <t>1 kg</t>
  </si>
  <si>
    <t>mani con sal</t>
  </si>
  <si>
    <t xml:space="preserve">pagó </t>
  </si>
  <si>
    <t>yo</t>
  </si>
  <si>
    <t>mix criollo con bananitas</t>
  </si>
  <si>
    <t>mermelada naranja</t>
  </si>
  <si>
    <t xml:space="preserve"> harina almendras sin piel</t>
  </si>
  <si>
    <t>mermelada sin azucar ciruela</t>
  </si>
  <si>
    <t>mermelada sin azucar durazno</t>
  </si>
  <si>
    <t>aceite de coco neutro</t>
  </si>
  <si>
    <t>nueces</t>
  </si>
  <si>
    <t>castañas</t>
  </si>
  <si>
    <t>almendras</t>
  </si>
  <si>
    <t>quinoa</t>
  </si>
  <si>
    <t>harina mandioca</t>
  </si>
  <si>
    <t>saha</t>
  </si>
  <si>
    <t>harina almendras con piel</t>
  </si>
  <si>
    <t>roapipo suave</t>
  </si>
  <si>
    <t>karina</t>
  </si>
  <si>
    <t>harina almendras sin piel</t>
  </si>
  <si>
    <t>tomates deshidratados</t>
  </si>
  <si>
    <t>Agustina</t>
  </si>
  <si>
    <t>caja ciruelas</t>
  </si>
  <si>
    <t>harina almendras s piel</t>
  </si>
  <si>
    <t>yerba roapipo 1/2</t>
  </si>
  <si>
    <t>Mix criollo CON BANANITAS</t>
  </si>
  <si>
    <t>Harina de Almendras SIN PIEL</t>
  </si>
  <si>
    <t>01 de abril</t>
  </si>
  <si>
    <t>Harina de Almedras</t>
  </si>
  <si>
    <t>Harina de Avena</t>
  </si>
  <si>
    <t>Mix criollo o runner con bananas</t>
  </si>
  <si>
    <t>Tomates deshidratados</t>
  </si>
  <si>
    <t>harina de avena</t>
  </si>
  <si>
    <t>rocklets</t>
  </si>
  <si>
    <t>chocolate alpino semiamargo</t>
  </si>
  <si>
    <t>harina algarroba</t>
  </si>
  <si>
    <t>pagó</t>
  </si>
  <si>
    <t>Naty nori</t>
  </si>
  <si>
    <t>mix premium</t>
  </si>
  <si>
    <t>harina de almendras</t>
  </si>
  <si>
    <t>harina integral</t>
  </si>
  <si>
    <t>fecula mandioca</t>
  </si>
  <si>
    <t>granola premium crujiente</t>
  </si>
  <si>
    <t>mix semillas premium</t>
  </si>
  <si>
    <t>sesamo integral</t>
  </si>
  <si>
    <t>pasta mani</t>
  </si>
  <si>
    <t>mani tostado con sal</t>
  </si>
  <si>
    <t>chia</t>
  </si>
  <si>
    <t>ver</t>
  </si>
  <si>
    <t xml:space="preserve">pasta mani crocante </t>
  </si>
  <si>
    <t xml:space="preserve"> almendras</t>
  </si>
  <si>
    <t>mani tostado sin sal</t>
  </si>
  <si>
    <t>aceite oliva</t>
  </si>
  <si>
    <t>te matcha</t>
  </si>
  <si>
    <t>50 gr</t>
  </si>
  <si>
    <t>mama nori</t>
  </si>
  <si>
    <t>harina almendras</t>
  </si>
  <si>
    <t>granola tropical</t>
  </si>
  <si>
    <t xml:space="preserve">ciruelas </t>
  </si>
  <si>
    <t>mix premium gourmet</t>
  </si>
  <si>
    <t>agus</t>
  </si>
  <si>
    <t>harina coco</t>
  </si>
  <si>
    <t>2 Kg</t>
  </si>
  <si>
    <t>quinua</t>
  </si>
  <si>
    <t>vale</t>
  </si>
  <si>
    <t>1 Kg</t>
  </si>
  <si>
    <t>mix criollo</t>
  </si>
  <si>
    <t>mix cervecero</t>
  </si>
  <si>
    <t>coco rallado</t>
  </si>
  <si>
    <t xml:space="preserve">mix semillas </t>
  </si>
  <si>
    <t>aceite coco entrenuts  neutrox 360ml</t>
  </si>
  <si>
    <t>aceite oregano</t>
  </si>
  <si>
    <t>te matcha 50 gr</t>
  </si>
  <si>
    <t>Almendras Non Pareil</t>
  </si>
  <si>
    <t>Mani tostado con sal</t>
  </si>
  <si>
    <t>yo (mina)</t>
  </si>
  <si>
    <t>Te matcha</t>
  </si>
  <si>
    <t>50gr</t>
  </si>
  <si>
    <t>mix premiun gourmet</t>
  </si>
  <si>
    <t xml:space="preserve">Dátiles </t>
  </si>
  <si>
    <t>2,5kg</t>
  </si>
  <si>
    <t>Harina Almendras</t>
  </si>
  <si>
    <t>Mani SIN SAL</t>
  </si>
  <si>
    <t>Aceite de coco neutro 200 cc</t>
  </si>
  <si>
    <t>Laura Area 10 Lote 360</t>
  </si>
  <si>
    <t>Harina de almendras SIN PIEL</t>
  </si>
  <si>
    <t>Harina de Algarroba</t>
  </si>
  <si>
    <t>Cacao Amargo</t>
  </si>
  <si>
    <t>semillas premium zapallo</t>
  </si>
  <si>
    <t>semillas premium girasol</t>
  </si>
  <si>
    <t>nueces mariposa extra light</t>
  </si>
  <si>
    <t>ciruelas</t>
  </si>
  <si>
    <t>nati conde</t>
  </si>
  <si>
    <t>sal himalaya fina</t>
  </si>
  <si>
    <t xml:space="preserve"> harina almendras s/piel</t>
  </si>
  <si>
    <t>naty cuñada nori</t>
  </si>
  <si>
    <t xml:space="preserve">datiles </t>
  </si>
  <si>
    <t xml:space="preserve">yerba kalena 500 grs </t>
  </si>
  <si>
    <t>Yerba roapipo suave 1kg</t>
  </si>
  <si>
    <t>Dora Area 2</t>
  </si>
  <si>
    <t>Mix preimun gourmet</t>
  </si>
  <si>
    <t>Mix cervecero</t>
  </si>
  <si>
    <t>p</t>
  </si>
  <si>
    <t xml:space="preserve">juan Pablo </t>
  </si>
  <si>
    <t>Pao</t>
  </si>
  <si>
    <t>pasta de mani</t>
  </si>
  <si>
    <t>pago ef</t>
  </si>
  <si>
    <t>Pago.</t>
  </si>
  <si>
    <t>Gisela  Area 13 Lote 229</t>
  </si>
  <si>
    <t>Pagó efctivo. y 800 tranf</t>
  </si>
  <si>
    <t>Harina de Garbanzos</t>
  </si>
  <si>
    <t xml:space="preserve">Caju </t>
  </si>
  <si>
    <t>Sal del himalaya</t>
  </si>
  <si>
    <t>Marcela Area 2 Lote 162</t>
  </si>
  <si>
    <t>Coco Rayado</t>
  </si>
  <si>
    <t>Pagó</t>
  </si>
  <si>
    <t xml:space="preserve">Miel </t>
  </si>
  <si>
    <t>Pagó ?</t>
  </si>
  <si>
    <t>Aceite de coco neutro 360cc</t>
  </si>
  <si>
    <t>360cc</t>
  </si>
  <si>
    <t>girasol</t>
  </si>
  <si>
    <t xml:space="preserve">cartilago de tiburon </t>
  </si>
  <si>
    <t xml:space="preserve">spirulina </t>
  </si>
  <si>
    <t>colageno</t>
  </si>
  <si>
    <t>mix runner</t>
  </si>
  <si>
    <t>Ursula Area 11 lote 220</t>
  </si>
  <si>
    <t>Mani tostado SIN SAL</t>
  </si>
  <si>
    <t>pagó efectivo</t>
  </si>
  <si>
    <t>Granola PREMIUN CRUJIENTE</t>
  </si>
  <si>
    <t>Mix Semillas (lino,chia,girasol,sesamo</t>
  </si>
  <si>
    <t>nuez mariposa</t>
  </si>
  <si>
    <t>3 kg</t>
  </si>
  <si>
    <t xml:space="preserve"> mani sin sal</t>
  </si>
  <si>
    <t xml:space="preserve">ciruela </t>
  </si>
  <si>
    <t>almendras con chocolate</t>
  </si>
  <si>
    <t>Mica Stefania gym</t>
  </si>
  <si>
    <t>harina avena</t>
  </si>
  <si>
    <t>Dulce sin azucar de durazno</t>
  </si>
  <si>
    <t>Mani salado</t>
  </si>
  <si>
    <t>Mix criollo con BANANA</t>
  </si>
  <si>
    <t>Mina</t>
  </si>
  <si>
    <t>Aceite de oregano</t>
  </si>
  <si>
    <t>Pagué</t>
  </si>
  <si>
    <t>Barra cereal yakamush proteica 1 unidad</t>
  </si>
  <si>
    <t>colageno x 90gr</t>
  </si>
  <si>
    <t>ciruelas 1kg</t>
  </si>
  <si>
    <t>aceite de coco 360cc NEUTRO</t>
  </si>
  <si>
    <t>Sal del Himalaya</t>
  </si>
  <si>
    <t>Mix semillas</t>
  </si>
  <si>
    <t>Mix Runner</t>
  </si>
  <si>
    <t>Miel Pura Nani Multifloral</t>
  </si>
  <si>
    <t xml:space="preserve">Mix cervecero </t>
  </si>
  <si>
    <t>Granola Yaka mush DULCE DE LECHE 750gr</t>
  </si>
  <si>
    <t>750gr</t>
  </si>
  <si>
    <t>1Kg</t>
  </si>
  <si>
    <t>01 de mayo</t>
  </si>
  <si>
    <t xml:space="preserve">pago efectivo </t>
  </si>
  <si>
    <t>Marta Carbone Area 8</t>
  </si>
  <si>
    <t>2 miel</t>
  </si>
  <si>
    <t>1 pasta de mani</t>
  </si>
  <si>
    <t>Harina de Integral</t>
  </si>
  <si>
    <t>Colageno 90gr</t>
  </si>
  <si>
    <t>Aceite de coco NEUTRO 360cc</t>
  </si>
  <si>
    <t>Calcio cubano</t>
  </si>
  <si>
    <t>CArtilago de Tiburon</t>
  </si>
  <si>
    <t>Mermelada frutos rojos</t>
  </si>
  <si>
    <t>Mermelada de naranja</t>
  </si>
  <si>
    <t>Mermelada de tomate</t>
  </si>
  <si>
    <t>celeste urquiza</t>
  </si>
  <si>
    <t>moringa 90 gr</t>
  </si>
  <si>
    <t>nuez mariposa extra light</t>
  </si>
  <si>
    <t>leche almendras cocoon</t>
  </si>
  <si>
    <t>spirulina 90 gr</t>
  </si>
  <si>
    <t>maca negra premium 100gr</t>
  </si>
  <si>
    <t>sal del himalaya</t>
  </si>
  <si>
    <t>Marina</t>
  </si>
  <si>
    <t xml:space="preserve">sal del himalaya </t>
  </si>
  <si>
    <t>coco rayado</t>
  </si>
  <si>
    <t>Barra cereal yakamush proteica 3 unidad</t>
  </si>
  <si>
    <t>Colageno</t>
  </si>
  <si>
    <t>Aceite de coco NEUTRO 200cc</t>
  </si>
  <si>
    <t>Micky</t>
  </si>
  <si>
    <t>Adriana</t>
  </si>
  <si>
    <t>10 de mayo</t>
  </si>
  <si>
    <t>Yerba de kilo ROAPIPO SUAVE</t>
  </si>
  <si>
    <t>3Kg</t>
  </si>
  <si>
    <t>Mix premiun gourmet</t>
  </si>
  <si>
    <t>Yerba Roapipo SUAVE</t>
  </si>
  <si>
    <t>500gr</t>
  </si>
  <si>
    <t xml:space="preserve">Almendras </t>
  </si>
  <si>
    <t>Granola YakaMush TERRANOVA</t>
  </si>
  <si>
    <t>Valeria Molina</t>
  </si>
  <si>
    <t>maní con sal</t>
  </si>
  <si>
    <t>mix europeo</t>
  </si>
  <si>
    <t>Rosario Area 1 Lote 479</t>
  </si>
  <si>
    <t xml:space="preserve">Mix gourmet </t>
  </si>
  <si>
    <t>Mix cervercero</t>
  </si>
  <si>
    <t>martu</t>
  </si>
  <si>
    <t>micky</t>
  </si>
  <si>
    <t>Harina Almendras SIN PIEL</t>
  </si>
  <si>
    <t>Mix Premiun Gourmet</t>
  </si>
  <si>
    <t>Sal Himalaya</t>
  </si>
  <si>
    <t>vero</t>
  </si>
  <si>
    <t>pasas uva con chocolate</t>
  </si>
  <si>
    <t>pague</t>
  </si>
  <si>
    <t>Aceite de Oliva</t>
  </si>
  <si>
    <t>Paola Area 10</t>
  </si>
  <si>
    <t>Yerba ROAPIPO de KILO</t>
  </si>
  <si>
    <t xml:space="preserve">pago </t>
  </si>
  <si>
    <t>Antonella Area 11 lote 83</t>
  </si>
  <si>
    <t>pago 8900</t>
  </si>
  <si>
    <t xml:space="preserve">Harina de Avena </t>
  </si>
  <si>
    <t>ef 20000</t>
  </si>
  <si>
    <t>1KG</t>
  </si>
  <si>
    <t>Yerba ROAPIPO de kilo</t>
  </si>
  <si>
    <t>pagó transferencia</t>
  </si>
  <si>
    <t>Blanca</t>
  </si>
  <si>
    <t>mermelada frutos rojos</t>
  </si>
  <si>
    <t>pago transferencia</t>
  </si>
  <si>
    <t>harina de almendras sin piel</t>
  </si>
  <si>
    <t>pagó eftivo y 7mil transf</t>
  </si>
  <si>
    <t>Cajú tostadas saladas</t>
  </si>
  <si>
    <t>jime</t>
  </si>
  <si>
    <t>pago transf.</t>
  </si>
  <si>
    <t>Aldana</t>
  </si>
  <si>
    <t>caju tostadas sin sal</t>
  </si>
  <si>
    <t>200gr</t>
  </si>
  <si>
    <t>Mariana Area 6</t>
  </si>
  <si>
    <t>Mix runner CON BANANITAS</t>
  </si>
  <si>
    <t>Lisandro</t>
  </si>
  <si>
    <t>Mix criollo o runner CON BANANITA</t>
  </si>
  <si>
    <t>Mermelada FRUTOS ROJOS</t>
  </si>
  <si>
    <t>Moringa</t>
  </si>
  <si>
    <t>Te de matcha</t>
  </si>
  <si>
    <t>Marina Gorjon</t>
  </si>
  <si>
    <t>azúcar mascabo</t>
  </si>
  <si>
    <t>Pagó transferencia</t>
  </si>
  <si>
    <t>800gr</t>
  </si>
  <si>
    <t>Azucar mascabo</t>
  </si>
  <si>
    <t>barra cereal yakamush</t>
  </si>
  <si>
    <t>Cinthia Area 2</t>
  </si>
  <si>
    <t>Mix Europeo</t>
  </si>
  <si>
    <t>Yerba Roapipo suave</t>
  </si>
  <si>
    <t>Maca Peruana común</t>
  </si>
  <si>
    <t>pago efectivo</t>
  </si>
  <si>
    <t>Mix criollo o runner CON BANANITAS</t>
  </si>
  <si>
    <t>Harina de Almendras CON PIEL</t>
  </si>
  <si>
    <t>Yo</t>
  </si>
  <si>
    <t>Adriana Viera Area 1 Lote 69</t>
  </si>
  <si>
    <t>Castañas de caju tostadas saladas</t>
  </si>
  <si>
    <t>Dora Area 2 Lote 270</t>
  </si>
  <si>
    <t>Mix premiun</t>
  </si>
  <si>
    <t>Nani Area 12 lote 128</t>
  </si>
  <si>
    <t xml:space="preserve">pago transferencia </t>
  </si>
  <si>
    <t>rosario</t>
  </si>
  <si>
    <t xml:space="preserve">mix Premium </t>
  </si>
  <si>
    <t>miel aldeva</t>
  </si>
  <si>
    <t>agustina arroyo</t>
  </si>
  <si>
    <t>Beta</t>
  </si>
  <si>
    <t>Fernando área 11</t>
  </si>
  <si>
    <t>caju tostadas saladas</t>
  </si>
  <si>
    <t>Granola Nakamush dulce de leche</t>
  </si>
  <si>
    <t>Miel Entrenuts CREMOSA</t>
  </si>
  <si>
    <t>Nati Petrocini</t>
  </si>
  <si>
    <t>miel liquida entregues</t>
  </si>
  <si>
    <t>mantequilla de mani natural entregues</t>
  </si>
  <si>
    <t>almendra</t>
  </si>
  <si>
    <t>Nico Spinetta</t>
  </si>
  <si>
    <t xml:space="preserve">mix premium gourmet </t>
  </si>
  <si>
    <t>pago transf</t>
  </si>
  <si>
    <t>Tony area 9 lote 127</t>
  </si>
  <si>
    <t>castañas caju tostadas sin sal</t>
  </si>
  <si>
    <t>pago tranf</t>
  </si>
  <si>
    <t>Yerba Roapipo Suave</t>
  </si>
  <si>
    <t>pistachos</t>
  </si>
  <si>
    <t>250gr</t>
  </si>
  <si>
    <t>mina</t>
  </si>
  <si>
    <t>bananas disecadas</t>
  </si>
  <si>
    <t>Cecilia Area 10 (Lauti)</t>
  </si>
  <si>
    <t>Pistachos</t>
  </si>
  <si>
    <t>Pasas de uva c chocolate</t>
  </si>
  <si>
    <t>Daniela inti 38</t>
  </si>
  <si>
    <t>caju natural</t>
  </si>
  <si>
    <t>nueces mariposa</t>
  </si>
  <si>
    <t>mani sin sal</t>
  </si>
  <si>
    <t>mix criollo sin mani</t>
  </si>
  <si>
    <t>sasha</t>
  </si>
  <si>
    <t>tomates secos</t>
  </si>
  <si>
    <t>nueces mariposas</t>
  </si>
  <si>
    <t>pago tran</t>
  </si>
  <si>
    <t>Constanza Area 1 Lote 181</t>
  </si>
  <si>
    <t>Castañas TOSTADAS SIN SAL</t>
  </si>
  <si>
    <t>harina de almendras SIN CASCARA</t>
  </si>
  <si>
    <t>sal marina</t>
  </si>
  <si>
    <t>Raquel Area 9 Lote 38</t>
  </si>
  <si>
    <t>Mani Tostado CON SAL</t>
  </si>
  <si>
    <t>Granola Archimoboldo Energetica</t>
  </si>
  <si>
    <t>Miel pura Nani Multiflorarl</t>
  </si>
  <si>
    <t>Cartilago de Tiburon x 90gr</t>
  </si>
  <si>
    <t>Pago Transferencia</t>
  </si>
  <si>
    <t>Jose M. Santa Cruz Area 7 lote 69</t>
  </si>
  <si>
    <t>Miel ALDEVA CREMOSA</t>
  </si>
  <si>
    <t>Paola Área 10</t>
  </si>
  <si>
    <t>harina de coco</t>
  </si>
  <si>
    <t>yerba roapipo de KILO</t>
  </si>
  <si>
    <t>Pago transferencia</t>
  </si>
  <si>
    <t>Lorena Area 10 Lote 242</t>
  </si>
  <si>
    <t>Mix Premiun</t>
  </si>
  <si>
    <t>Lucy Area 5 lote 4</t>
  </si>
  <si>
    <t>Miel ALDEVA</t>
  </si>
  <si>
    <t>Marcela área 2 lote 229</t>
  </si>
  <si>
    <t>aceite de coco NEUTRO 360</t>
  </si>
  <si>
    <t>pago efecrivo</t>
  </si>
  <si>
    <t>Marilin Area 10 Lote 316</t>
  </si>
  <si>
    <t xml:space="preserve">Sal del Himalaya </t>
  </si>
  <si>
    <t xml:space="preserve">Coco Rayado </t>
  </si>
  <si>
    <t>Miel multiflorar 1</t>
  </si>
  <si>
    <t>almendras 27/30</t>
  </si>
  <si>
    <t>Patricia ed 48</t>
  </si>
  <si>
    <t>sal de himalaya fina</t>
  </si>
  <si>
    <t>pasta de mani entrenuts natural</t>
  </si>
  <si>
    <t>mix criollo o runner sin mani</t>
  </si>
  <si>
    <t>colageno 90 gr</t>
  </si>
  <si>
    <t>moringa</t>
  </si>
  <si>
    <t>pasas uva rubia</t>
  </si>
  <si>
    <t>pas de uva rubia</t>
  </si>
  <si>
    <t>Almendras</t>
  </si>
  <si>
    <t>Julieta Area 13 Lote 181</t>
  </si>
  <si>
    <t>Mani sin sal</t>
  </si>
  <si>
    <t>Chía premiun</t>
  </si>
  <si>
    <t>Harina de arroz</t>
  </si>
  <si>
    <t>Julieta</t>
  </si>
  <si>
    <t>Caju TOSTADAS SIN SAL</t>
  </si>
  <si>
    <t>Mix criollo SIN MANI</t>
  </si>
  <si>
    <t>Bananitas</t>
  </si>
  <si>
    <t>Minicrackers</t>
  </si>
  <si>
    <t>Graciela Area 8 Lote 367</t>
  </si>
  <si>
    <t>Cajú Tostadas CON SAL</t>
  </si>
  <si>
    <t>Tomates deshidratados 1kg</t>
  </si>
  <si>
    <t>Mermelada Los Carolinos Zapallo</t>
  </si>
  <si>
    <t>Mermelada Los Carolinos Tomate</t>
  </si>
  <si>
    <t>Bananas secas</t>
  </si>
  <si>
    <t xml:space="preserve">almendras </t>
  </si>
  <si>
    <t>azucar mascabo</t>
  </si>
  <si>
    <t>si</t>
  </si>
  <si>
    <t>Diego Area 10 Lote 154</t>
  </si>
  <si>
    <t>Nueces</t>
  </si>
  <si>
    <t>Seba(lauti) área 10</t>
  </si>
  <si>
    <t>Gustavo área 8 lote 238</t>
  </si>
  <si>
    <t>mix premiun</t>
  </si>
  <si>
    <t>maní sin sal</t>
  </si>
  <si>
    <t>Lucy Area 5 Lote 4</t>
  </si>
  <si>
    <t>miel adelva</t>
  </si>
  <si>
    <t>Adela Koffman Area 7</t>
  </si>
  <si>
    <t>pagada</t>
  </si>
  <si>
    <t xml:space="preserve">Graciela Area 8 </t>
  </si>
  <si>
    <t>Mantequilla de mani</t>
  </si>
  <si>
    <t xml:space="preserve">pagado transferencia </t>
  </si>
  <si>
    <t>Camila Area 2 Lote 49</t>
  </si>
  <si>
    <t>Miel Adeva</t>
  </si>
  <si>
    <t>Yerba Roapipo</t>
  </si>
  <si>
    <t xml:space="preserve">Pasta de Mani </t>
  </si>
  <si>
    <t>Nany área 1 lote 496</t>
  </si>
  <si>
    <t>miel adeva</t>
  </si>
  <si>
    <t>Erica área 7 lote 74</t>
  </si>
  <si>
    <t>Natalia Fernandez Area 6 Lote 3</t>
  </si>
  <si>
    <t>mix cervercero</t>
  </si>
  <si>
    <t>Chip de chocolate</t>
  </si>
  <si>
    <t>manteca mani natural entrenuts</t>
  </si>
  <si>
    <t>datiles</t>
  </si>
  <si>
    <t>Aceite CBD medicianal</t>
  </si>
  <si>
    <t>Florencia</t>
  </si>
  <si>
    <t>Mix europeo</t>
  </si>
  <si>
    <t>harina almendras sin almendras</t>
  </si>
  <si>
    <t xml:space="preserve">mantequilla mani </t>
  </si>
  <si>
    <t>aceite coco neutro 360 cc</t>
  </si>
  <si>
    <t xml:space="preserve">coco rallado </t>
  </si>
  <si>
    <t>pago efect</t>
  </si>
  <si>
    <t>victoria area 2 lote 106</t>
  </si>
  <si>
    <t xml:space="preserve">natalia area 11 </t>
  </si>
  <si>
    <t xml:space="preserve">Camila area 2 </t>
  </si>
  <si>
    <t>Lucrecia area 2</t>
  </si>
  <si>
    <t>marilina area 10</t>
  </si>
  <si>
    <t>pague vit d</t>
  </si>
  <si>
    <t>Marilina Area 10 falta q pague datil</t>
  </si>
  <si>
    <t>Harina de almendras sin piel</t>
  </si>
  <si>
    <t>Semillas GIRASOL</t>
  </si>
  <si>
    <t>Chocolate Alpino (amargo ideal o semiamargo)</t>
  </si>
  <si>
    <t>pago transferencia  ok</t>
  </si>
  <si>
    <t>pago transferencia ok</t>
  </si>
  <si>
    <t>Leticia Area 2 Lote 181</t>
  </si>
  <si>
    <t>Miel pura nani</t>
  </si>
  <si>
    <t>castañas tostadas</t>
  </si>
  <si>
    <t>nueces mariposa (no pedir, tengo)</t>
  </si>
  <si>
    <t>semillas chia</t>
  </si>
  <si>
    <t>chip chocolate semiamargo</t>
  </si>
  <si>
    <t>Alejandro</t>
  </si>
  <si>
    <t>pagado transferencia ok</t>
  </si>
  <si>
    <t>Sesamo integral</t>
  </si>
  <si>
    <t>ponerlo por separado</t>
  </si>
  <si>
    <t>Chia premiun</t>
  </si>
  <si>
    <t>Girasol 1kg</t>
  </si>
  <si>
    <t>Mix criollo o Runner SIN MANI</t>
  </si>
  <si>
    <t>pago trnaf ok</t>
  </si>
  <si>
    <t>Sasha</t>
  </si>
  <si>
    <t>castañas de caju natural</t>
  </si>
  <si>
    <t>mix criollo runner</t>
  </si>
  <si>
    <t>pasta de maní natural entrenuts</t>
  </si>
  <si>
    <t>tomates disecados</t>
  </si>
  <si>
    <t>Amelie Area 2 Lote 77</t>
  </si>
  <si>
    <t>Aceite de coco NEUTRO 360 cc</t>
  </si>
  <si>
    <t>Harina de Almendras CON piel</t>
  </si>
  <si>
    <t>Castañas de PARA</t>
  </si>
  <si>
    <t>pago por transferencia ok</t>
  </si>
  <si>
    <t xml:space="preserve"> Marcela area 9 lote 214</t>
  </si>
  <si>
    <t>harina almendra sin piel</t>
  </si>
  <si>
    <t>yerba roapipo suave</t>
  </si>
  <si>
    <t>mermelada los carolinos frutilla</t>
  </si>
  <si>
    <t xml:space="preserve">azucar mascabo </t>
  </si>
  <si>
    <t>miel cremosa entrenuts</t>
  </si>
  <si>
    <t xml:space="preserve">harina almendra sin piel </t>
  </si>
  <si>
    <t>pagó transferencia ok</t>
  </si>
  <si>
    <t>rosario área 1</t>
  </si>
  <si>
    <t>Santiago area 1 lote 170</t>
  </si>
  <si>
    <t>mix runner sin mani</t>
  </si>
  <si>
    <t>chia premium</t>
  </si>
  <si>
    <t>ok</t>
  </si>
  <si>
    <t>Marcela área 9 lote 214</t>
  </si>
  <si>
    <t>pago tranf ok</t>
  </si>
  <si>
    <t>harina de almendra SIN piel</t>
  </si>
  <si>
    <t>Ya pago ok</t>
  </si>
  <si>
    <t>Marcela Area 2 Lote 165</t>
  </si>
  <si>
    <t>Miel NANI</t>
  </si>
  <si>
    <t>Mix runner SIN MANI</t>
  </si>
  <si>
    <t>Paola Area 10 lote 360</t>
  </si>
  <si>
    <t>Yerba ROAPIPO</t>
  </si>
  <si>
    <t>pago transferencia ?</t>
  </si>
  <si>
    <t>Camila Pomerane Area 2 L. 49</t>
  </si>
  <si>
    <t xml:space="preserve">Miel Aldeva </t>
  </si>
  <si>
    <t>Pato Area 2 lote 69</t>
  </si>
  <si>
    <t>cacao amargo</t>
  </si>
  <si>
    <t>pasta de mani natural entrenuts</t>
  </si>
  <si>
    <t>pago ok</t>
  </si>
  <si>
    <t>Adriana área 1 lote 69</t>
  </si>
  <si>
    <t>semillas de zapallo</t>
  </si>
  <si>
    <t>Miel Aldeva</t>
  </si>
  <si>
    <t>pago trans ok</t>
  </si>
  <si>
    <t>Rachel área 9 L 38</t>
  </si>
  <si>
    <t>Alejandra edificio 2</t>
  </si>
  <si>
    <t>miel nani multifloral</t>
  </si>
  <si>
    <t>azucar mascabo  500gr</t>
  </si>
  <si>
    <t>Delfina area 13</t>
  </si>
  <si>
    <t>castañas caju naturales</t>
  </si>
  <si>
    <t>peluquera mamá</t>
  </si>
  <si>
    <t>harina de almendras SIN PIEL</t>
  </si>
  <si>
    <t>harina de almendras CON PIEL</t>
  </si>
  <si>
    <t>mantequilla de mani natural</t>
  </si>
  <si>
    <t>mix de semillas</t>
  </si>
  <si>
    <t>chia premiun</t>
  </si>
  <si>
    <t>Alfajor celienergy nuez y dulce de leche</t>
  </si>
  <si>
    <t>pago tranaferencia</t>
  </si>
  <si>
    <t>Marcela Area 2 Lote 229</t>
  </si>
  <si>
    <t>Aceite de coco 360cc</t>
  </si>
  <si>
    <t>lucrecia área 2</t>
  </si>
  <si>
    <t>Sofia Area 1 Lote 174</t>
  </si>
  <si>
    <t>pago transf sofia</t>
  </si>
  <si>
    <t>castañas natural</t>
  </si>
  <si>
    <t>mini con sal</t>
  </si>
  <si>
    <t>sal de himalaya</t>
  </si>
  <si>
    <t>pagó tranf</t>
  </si>
  <si>
    <t>Cristina Area 5</t>
  </si>
  <si>
    <t>Aceite de coco 360 cc NEUTRO</t>
  </si>
  <si>
    <t>Dátiles</t>
  </si>
  <si>
    <t xml:space="preserve">Mix criollo  runner </t>
  </si>
  <si>
    <t>Leche de coco</t>
  </si>
  <si>
    <t>no hay</t>
  </si>
  <si>
    <t>Mariela Guzzeti Area 1</t>
  </si>
  <si>
    <t>Luciana área 10 lote 267</t>
  </si>
  <si>
    <t>granola archimboldo crujiente</t>
  </si>
  <si>
    <t>pago ef?</t>
  </si>
  <si>
    <t>Sol Mandrile Area 1</t>
  </si>
  <si>
    <t>Miel LIQUIDA entrenuts</t>
  </si>
  <si>
    <t>Lautaro</t>
  </si>
  <si>
    <t>Melina edificio 5</t>
  </si>
  <si>
    <t>castañas de para</t>
  </si>
  <si>
    <t>500 gr</t>
  </si>
  <si>
    <t>Ileana</t>
  </si>
  <si>
    <t>mantequilla mani entrenuts natural</t>
  </si>
  <si>
    <t>Paola edificio 2</t>
  </si>
  <si>
    <t>semillas zapallo</t>
  </si>
  <si>
    <t>miel aldeva vidrio</t>
  </si>
  <si>
    <t>pecan</t>
  </si>
  <si>
    <t>datil</t>
  </si>
  <si>
    <t>Vero edificio 17</t>
  </si>
  <si>
    <t xml:space="preserve">harina almendras sin piel </t>
  </si>
  <si>
    <t>miel pura nani multifloral</t>
  </si>
  <si>
    <t>granola archimboldo energetica</t>
  </si>
  <si>
    <t>Fede Vidal área 6 lote 186</t>
  </si>
  <si>
    <t>mix Runner sin mani</t>
  </si>
  <si>
    <t>Constanza Area 1 lote 181</t>
  </si>
  <si>
    <t>5kg</t>
  </si>
  <si>
    <t>Carmen Area 1 LOTE 189</t>
  </si>
  <si>
    <t>Mix criollo runner SIN MANI</t>
  </si>
  <si>
    <t>pasas rubia</t>
  </si>
  <si>
    <t xml:space="preserve">harina SIN almendras </t>
  </si>
  <si>
    <t>aceite coco virgen x 200cc</t>
  </si>
  <si>
    <t>200cc</t>
  </si>
  <si>
    <t>datiles egipcios</t>
  </si>
  <si>
    <t>Ana Maria edificio 17</t>
  </si>
  <si>
    <t>carmen área 1 l. 43</t>
  </si>
  <si>
    <t xml:space="preserve">aceite de coco neuro </t>
  </si>
  <si>
    <t xml:space="preserve">mix Runner CON BANANA </t>
  </si>
  <si>
    <t>Chip chocolate blanco</t>
  </si>
  <si>
    <t>alfajores celyenergy(5 blancos y 5 negros )</t>
  </si>
  <si>
    <t>Mix premium</t>
  </si>
  <si>
    <t>Maca KALPA</t>
  </si>
  <si>
    <t>COLAGENO</t>
  </si>
  <si>
    <t>chip blanco</t>
  </si>
  <si>
    <t>Alfajor celienergy nuez y ddll</t>
  </si>
  <si>
    <t>1 caja</t>
  </si>
  <si>
    <t>11 alfajores</t>
  </si>
  <si>
    <t>DATILES</t>
  </si>
  <si>
    <t>me falta pagar esto</t>
  </si>
  <si>
    <t>Alberto Edificio 18</t>
  </si>
  <si>
    <t>alfajores celienergy ddll</t>
  </si>
  <si>
    <t>3 unidades</t>
  </si>
  <si>
    <t>calcio cubano</t>
  </si>
  <si>
    <t>moringa en polvo</t>
  </si>
  <si>
    <t>spirulina</t>
  </si>
  <si>
    <t>maca kalpa</t>
  </si>
  <si>
    <t>hongo melena de leon ORIGINAL GREEN</t>
  </si>
  <si>
    <t>clorofila 60</t>
  </si>
  <si>
    <t>devolvi plata</t>
  </si>
  <si>
    <t xml:space="preserve">chocolate alpino </t>
  </si>
  <si>
    <t>Marcela Edificio 10</t>
  </si>
  <si>
    <t>mix runner SIN MANI</t>
  </si>
  <si>
    <t>me confundi y fue con mani</t>
  </si>
  <si>
    <t>Tony</t>
  </si>
  <si>
    <t>castañas tostadas sin sal</t>
  </si>
  <si>
    <t>Vero área 2</t>
  </si>
  <si>
    <t>Yerba ROPAPIO suave</t>
  </si>
  <si>
    <t>Claudia Area 1 Lote 181</t>
  </si>
  <si>
    <t xml:space="preserve">pago tranf </t>
  </si>
  <si>
    <t>ezequiel ed 17</t>
  </si>
  <si>
    <t>granola choco cruch</t>
  </si>
  <si>
    <t>400gr</t>
  </si>
  <si>
    <t>alfajor de avena y chia</t>
  </si>
  <si>
    <t>caju brasilero natural</t>
  </si>
  <si>
    <t>nuez pecan</t>
  </si>
  <si>
    <t>pago trans y efcto</t>
  </si>
  <si>
    <t>Gisela Area 13 Lote 229</t>
  </si>
  <si>
    <t xml:space="preserve">arandanos </t>
  </si>
  <si>
    <t>DECIR QUE NO VIENE CHIA NUNCA</t>
  </si>
  <si>
    <t>Aceite Oregano</t>
  </si>
  <si>
    <t>Citrato Magnsesio X 60 Original Green</t>
  </si>
  <si>
    <t>DAtiles</t>
  </si>
  <si>
    <t>pago trans</t>
  </si>
  <si>
    <t>Mariana Area 12 Lote 49</t>
  </si>
  <si>
    <t>Mix Semillas</t>
  </si>
  <si>
    <t>Aceite Oliva Sol Cuyano</t>
  </si>
  <si>
    <t xml:space="preserve">Azucar Mascabo </t>
  </si>
  <si>
    <t>MiniCracker 5 semillas</t>
  </si>
  <si>
    <t>castañas caju natural</t>
  </si>
  <si>
    <t>Belen Nuñez Area 5 Lote 290</t>
  </si>
  <si>
    <t>Chia Premiun</t>
  </si>
  <si>
    <t xml:space="preserve">Ciruelas </t>
  </si>
  <si>
    <t>Tomates secos</t>
  </si>
  <si>
    <t>granola choco crunch kuati</t>
  </si>
  <si>
    <t>granola cranberry y coco</t>
  </si>
  <si>
    <t>Harina de Almendras SIN piel</t>
  </si>
  <si>
    <t>Gustavo Area 1 Lote 102</t>
  </si>
  <si>
    <t>Ultrarevesterol x 30 capsulas</t>
  </si>
  <si>
    <t>dátiles egipto</t>
  </si>
  <si>
    <t>Rosario Área 1</t>
  </si>
  <si>
    <t>Claudio Area 1 Lote 313</t>
  </si>
  <si>
    <t>Yerba Kalena Roja</t>
  </si>
  <si>
    <t>Yerba Kalena Celeste</t>
  </si>
  <si>
    <t>Galletitas Nutresan Coco</t>
  </si>
  <si>
    <t>Galletitas Nutresan Limón</t>
  </si>
  <si>
    <t>Semillas de girasol</t>
  </si>
  <si>
    <t>Semillas de zapallo</t>
  </si>
  <si>
    <t>Castañas de Caju tostadas sin sal</t>
  </si>
  <si>
    <t>solange área 2 lote 271</t>
  </si>
  <si>
    <t>cajú natural</t>
  </si>
  <si>
    <t>1jg</t>
  </si>
  <si>
    <t>aceite de coco neutro 500cc</t>
  </si>
  <si>
    <t>leche de almendras</t>
  </si>
  <si>
    <t>Mica edificio 12</t>
  </si>
  <si>
    <t>Angi edificio 3</t>
  </si>
  <si>
    <t xml:space="preserve">nueces mariposa </t>
  </si>
  <si>
    <t>Daniela Vera edif 38</t>
  </si>
  <si>
    <t>avellanas</t>
  </si>
  <si>
    <t>pago transf ok</t>
  </si>
  <si>
    <t>Natalia Malvicini edif 47</t>
  </si>
  <si>
    <t>granola natural archimboldo</t>
  </si>
  <si>
    <t>Karen edificio 15</t>
  </si>
  <si>
    <t>mix criollo o runner con bananitas</t>
  </si>
  <si>
    <t>miel nani</t>
  </si>
  <si>
    <t>pago tranf 24000 ok</t>
  </si>
  <si>
    <t>Flor</t>
  </si>
  <si>
    <t>Marcela edificio 10</t>
  </si>
  <si>
    <t>mantequilla mani entrenuts</t>
  </si>
  <si>
    <t>Alejandra edif 2</t>
  </si>
  <si>
    <t>pague transferencia ok</t>
  </si>
  <si>
    <t>galletitas boccone chocolate y coco</t>
  </si>
  <si>
    <t>Emilia Area 13 Lote 564</t>
  </si>
  <si>
    <t>Marcela</t>
  </si>
  <si>
    <t>Granola Archimboldo Tropical</t>
  </si>
  <si>
    <t xml:space="preserve">Datiles </t>
  </si>
  <si>
    <t>Alfajor chocolate light sin azucar</t>
  </si>
  <si>
    <t>Graciela Area 8</t>
  </si>
  <si>
    <t>Mix premium gourmet</t>
  </si>
  <si>
    <t>pago trnf ok</t>
  </si>
  <si>
    <t>sol area 1 lote 170</t>
  </si>
  <si>
    <t>mix europeo 1kg</t>
  </si>
  <si>
    <t>miel liquida envase vidrio</t>
  </si>
  <si>
    <t>pago traf ok</t>
  </si>
  <si>
    <t>Patricia edificio 46</t>
  </si>
  <si>
    <t>datiles egipto</t>
  </si>
  <si>
    <t xml:space="preserve">Fernando Area 11 Lote </t>
  </si>
  <si>
    <t>Castañas tostadas saladas</t>
  </si>
  <si>
    <t>Graciela Area 8 lote 367</t>
  </si>
  <si>
    <t>Caju tostadas CON sal</t>
  </si>
  <si>
    <t>Sol Area 2 Lote 45</t>
  </si>
  <si>
    <t xml:space="preserve">Nueces </t>
  </si>
  <si>
    <t>faltan 400</t>
  </si>
  <si>
    <t>Amelia Area 2 Lote 77</t>
  </si>
  <si>
    <t>Harina de ALmendras CON PIEL</t>
  </si>
  <si>
    <t>Silvia edificio 40</t>
  </si>
  <si>
    <t>aceite coco 500ml</t>
  </si>
  <si>
    <t>Alejandrina edif 4</t>
  </si>
  <si>
    <t>aceite coco 360 ml</t>
  </si>
  <si>
    <t>Diego edif 4</t>
  </si>
  <si>
    <t>Mariana edif 14</t>
  </si>
  <si>
    <t>galletitas algarroba nutresan</t>
  </si>
  <si>
    <t xml:space="preserve">Lorena área 10 lote </t>
  </si>
  <si>
    <t xml:space="preserve">1kg </t>
  </si>
  <si>
    <t>Fabi edificio 42</t>
  </si>
  <si>
    <t>vero edificio 17</t>
  </si>
  <si>
    <t>cacao amargo mayana</t>
  </si>
  <si>
    <t>Marcela Area 2 lote 6</t>
  </si>
  <si>
    <t>Ciruelas</t>
  </si>
  <si>
    <t>arroz yamani</t>
  </si>
  <si>
    <t>pagué</t>
  </si>
  <si>
    <t>Caju tostadas con sal</t>
  </si>
  <si>
    <t>ya pagada</t>
  </si>
  <si>
    <t xml:space="preserve">Galletitas Avena, chips de chocolate y coco </t>
  </si>
  <si>
    <t>Galletitas Avena, semillas de girasol y naranja</t>
  </si>
  <si>
    <t>Cecilia Area 10 Lote 168</t>
  </si>
  <si>
    <t>Aceite de coco VIRGEN 200CC</t>
  </si>
  <si>
    <t>Chip de Chocolate semiamargo Alpino</t>
  </si>
  <si>
    <t>Harina de Garbanzo</t>
  </si>
  <si>
    <t>Marilina Area 10 Lote 316</t>
  </si>
  <si>
    <t>Datiles</t>
  </si>
  <si>
    <t>Caju brasilero natural</t>
  </si>
  <si>
    <t xml:space="preserve">Cacao amargo </t>
  </si>
  <si>
    <t>Claudia Area 11 Lote 32</t>
  </si>
  <si>
    <t xml:space="preserve">quinoa </t>
  </si>
  <si>
    <t>chip chocolate semiamargo alpino</t>
  </si>
  <si>
    <t>chip chocolate blanco alpino</t>
  </si>
  <si>
    <t>granola kuati mani fitnes</t>
  </si>
  <si>
    <t>granola kuati choco crunch</t>
  </si>
  <si>
    <t xml:space="preserve"> Victor Area 1 Lote 251</t>
  </si>
  <si>
    <t>Arroz Yamani</t>
  </si>
  <si>
    <t>Yerba  roapipo suave</t>
  </si>
  <si>
    <t>colageno en polvo</t>
  </si>
  <si>
    <t xml:space="preserve">mix premium </t>
  </si>
  <si>
    <t>Fede</t>
  </si>
  <si>
    <t>Adriana Area 1 Lote 69</t>
  </si>
  <si>
    <t>Semillas Zapallos</t>
  </si>
  <si>
    <t>Caju saladas</t>
  </si>
  <si>
    <t>Rachel Area 9 Lote 38</t>
  </si>
  <si>
    <t>Mermelada Los carolinos Frutilla</t>
  </si>
  <si>
    <t>Almendras con chocolate Los carolinos</t>
  </si>
  <si>
    <t>Rocklets</t>
  </si>
  <si>
    <t xml:space="preserve"> 1kg</t>
  </si>
  <si>
    <t>Galletitas Celienergy de nuez</t>
  </si>
  <si>
    <t>Galletitas Celienergy de nuez bañadas choc</t>
  </si>
  <si>
    <t>Galletitas Nutresan 250gr COCO</t>
  </si>
  <si>
    <t>Galletitas Avena semillas girasol naranja Boccone</t>
  </si>
  <si>
    <t>Galletitas Avena chip chocolate y coco</t>
  </si>
  <si>
    <t>Alfajor Celienergy Nuez y ddll</t>
  </si>
  <si>
    <t>Roxana área 9 lote 18</t>
  </si>
  <si>
    <t>Deborah Area 5 Lote 188</t>
  </si>
  <si>
    <t>Harina Integral</t>
  </si>
  <si>
    <t>Combo cokkis saludables</t>
  </si>
  <si>
    <t>Harina de Almednras sin piel</t>
  </si>
  <si>
    <t>Cartilago de Tiburon</t>
  </si>
  <si>
    <t>marta ed 14</t>
  </si>
  <si>
    <t>mani tostado salado</t>
  </si>
  <si>
    <t>lili ed 14</t>
  </si>
  <si>
    <t>castañas caju natura</t>
  </si>
  <si>
    <t>Paola edif 2</t>
  </si>
  <si>
    <t>aceite coco  virgen entrenuts x 360</t>
  </si>
  <si>
    <t>aceite oregano gotas</t>
  </si>
  <si>
    <t>Luciana Area 10 Lote 267</t>
  </si>
  <si>
    <t>Belen Area 5 Lote 290</t>
  </si>
  <si>
    <t>almednras</t>
  </si>
  <si>
    <t xml:space="preserve">granola archimboldo crujiente </t>
  </si>
  <si>
    <t>lino</t>
  </si>
  <si>
    <t>Fede Vidal Area 6 Lote 186</t>
  </si>
  <si>
    <t>Erika Area 7 Lote 74</t>
  </si>
  <si>
    <t>me pagó</t>
  </si>
  <si>
    <t>Lucrecia Area 2</t>
  </si>
  <si>
    <t>Galletitas celienergy nuez</t>
  </si>
  <si>
    <t>Galletitas celienergy cacao y mani</t>
  </si>
  <si>
    <t>Harina de almendras</t>
  </si>
  <si>
    <t>Barra cereal proteica naya mush</t>
  </si>
  <si>
    <t>hojas de stevia 250gr</t>
  </si>
  <si>
    <t>Sebastian edif 3</t>
  </si>
  <si>
    <t>hojas de stevia 250 gr</t>
  </si>
  <si>
    <t>clavo olor 250 gr</t>
  </si>
  <si>
    <t>pistacho</t>
  </si>
  <si>
    <t>alfajor</t>
  </si>
  <si>
    <t>Flor Cardozo</t>
  </si>
  <si>
    <t>stevia jual 125 cc</t>
  </si>
  <si>
    <t>Aldi Area 2</t>
  </si>
  <si>
    <t>Castañas caju natural</t>
  </si>
  <si>
    <t>Barbara Area 11</t>
  </si>
  <si>
    <t xml:space="preserve">mix criollo con bananitas </t>
  </si>
  <si>
    <t xml:space="preserve">Ga Area </t>
  </si>
  <si>
    <t xml:space="preserve">Mantequilla de mani </t>
  </si>
  <si>
    <t>harina arroz</t>
  </si>
  <si>
    <t>Leticia área 2 lote 181</t>
  </si>
  <si>
    <t xml:space="preserve">dátiles </t>
  </si>
  <si>
    <t>531840-448970= 82870 ok</t>
  </si>
  <si>
    <t>tranf ok</t>
  </si>
  <si>
    <t>Sebas edificio 3</t>
  </si>
  <si>
    <t>pago transferencia.100$-</t>
  </si>
  <si>
    <t>Emelie Area 13 Lote 564</t>
  </si>
  <si>
    <t>Harina almendras con piel</t>
  </si>
  <si>
    <t>Mix berry</t>
  </si>
  <si>
    <t>Harina de almendras sin piel (POR SEPARADO)</t>
  </si>
  <si>
    <t>Granola pasta de mani kuati</t>
  </si>
  <si>
    <t>Mariela Guszzetti Area 1 Lo. 365</t>
  </si>
  <si>
    <t>Pasta de mani</t>
  </si>
  <si>
    <t>mix berry</t>
  </si>
  <si>
    <t>pago efectivo ok</t>
  </si>
  <si>
    <t>Alicia Area 2 Lote 62</t>
  </si>
  <si>
    <t>Miel entrenuts LIQUIDA</t>
  </si>
  <si>
    <t>agustina</t>
  </si>
  <si>
    <t>Daniela edif 18</t>
  </si>
  <si>
    <t xml:space="preserve">chia </t>
  </si>
  <si>
    <t>Vero Area 2 Lote 204</t>
  </si>
  <si>
    <t>Andrea de la Iglesia Area 12 L. 178</t>
  </si>
  <si>
    <t>Mix Premium gourmet</t>
  </si>
  <si>
    <t>Peras</t>
  </si>
  <si>
    <t>Damascos</t>
  </si>
  <si>
    <t>Jesica RodríguezÁrea 6 L. 266</t>
  </si>
  <si>
    <t>aceite de coco 200cc neutro</t>
  </si>
  <si>
    <t>Gabriela edif 14</t>
  </si>
  <si>
    <t xml:space="preserve">nuez mariposa </t>
  </si>
  <si>
    <t>por separado</t>
  </si>
  <si>
    <t>aceite coco neutro 500 ml</t>
  </si>
  <si>
    <t>galletitas nutresan natural c/miel</t>
  </si>
  <si>
    <t>alfajor algarroba y semillas de zapallo</t>
  </si>
  <si>
    <t>leche de coco cocoon</t>
  </si>
  <si>
    <t>pago efec</t>
  </si>
  <si>
    <t>Florencia Cardozo</t>
  </si>
  <si>
    <t>Estefania edif 23</t>
  </si>
  <si>
    <t>mix criollo o runner</t>
  </si>
  <si>
    <t>maca kalpa 500gr</t>
  </si>
  <si>
    <t xml:space="preserve">cacao amargo mayana </t>
  </si>
  <si>
    <t>aceite coco entrenuts neutro 500 cc</t>
  </si>
  <si>
    <t>dartiles</t>
  </si>
  <si>
    <t>Debora area 13</t>
  </si>
  <si>
    <t>Natalia edif 14</t>
  </si>
  <si>
    <t>2Kg</t>
  </si>
  <si>
    <t>mix criollo o runner SIN MANI</t>
  </si>
  <si>
    <t>granola archimboldo crocante con manzana</t>
  </si>
  <si>
    <t>duraznos disecados</t>
  </si>
  <si>
    <t>Mariana Ex vecina Area 2</t>
  </si>
  <si>
    <t>Dora Area 2 Lote</t>
  </si>
  <si>
    <t>Nuez Mariposa</t>
  </si>
  <si>
    <t>Miel pura NANI 500gr</t>
  </si>
  <si>
    <t xml:space="preserve">Chechu Area 10 </t>
  </si>
  <si>
    <t>Pato Area 2 Lote 69</t>
  </si>
  <si>
    <t>Harina de Pistacho</t>
  </si>
  <si>
    <t>Fernando Mesina Area 11 L. 182</t>
  </si>
  <si>
    <t>Castañas saladas</t>
  </si>
  <si>
    <t>Rodolfo edificio 33</t>
  </si>
  <si>
    <t>semillas lino</t>
  </si>
  <si>
    <t>mani con chocolate</t>
  </si>
  <si>
    <t>azucar mascabo 500gr</t>
  </si>
  <si>
    <t>manteca ghee</t>
  </si>
  <si>
    <t>harina pistacho</t>
  </si>
  <si>
    <t>Graciela Area 8 L.367</t>
  </si>
  <si>
    <t>mani salado</t>
  </si>
  <si>
    <t>Tatta Franco Area 2</t>
  </si>
  <si>
    <t>Datiles Egipto</t>
  </si>
  <si>
    <t>Mix criollo o runner con mani</t>
  </si>
  <si>
    <t>Gabriela Area 7</t>
  </si>
  <si>
    <t>mix criollo runner SIN MANI</t>
  </si>
  <si>
    <t>Yerba roapipo suave 500gr</t>
  </si>
  <si>
    <t>sal himalaya</t>
  </si>
  <si>
    <t>miel entrenuts cremosa</t>
  </si>
  <si>
    <t>Antonella Area 11 Lote 83</t>
  </si>
  <si>
    <t>ciruelas sin carozo</t>
  </si>
  <si>
    <t>semillas girasol</t>
  </si>
  <si>
    <t>gelatina sin sabor</t>
  </si>
  <si>
    <t>Mariela Area 1 Lote 92</t>
  </si>
  <si>
    <t>Rodolfo edif 33</t>
  </si>
  <si>
    <t xml:space="preserve">leche coco  </t>
  </si>
  <si>
    <t>peras disecadas</t>
  </si>
  <si>
    <t>galletitas nutresan 250gr avena</t>
  </si>
  <si>
    <t>granola archimboldo premium crujiente</t>
  </si>
  <si>
    <t xml:space="preserve">Adriana Davi Area 12 </t>
  </si>
  <si>
    <t>Marilina Area 10 Lote. 316</t>
  </si>
  <si>
    <t>Yerba orgánica Legado</t>
  </si>
  <si>
    <t>Ultra Resveratrol -Original Green</t>
  </si>
  <si>
    <t>Harina de pistacho (no pedir porq ya tengo)</t>
  </si>
  <si>
    <t>ezequiel edif 33</t>
  </si>
  <si>
    <t>barritas keto</t>
  </si>
  <si>
    <t>chip chocolate alpino semiamargo</t>
  </si>
  <si>
    <t>Galletias celienergy nuez</t>
  </si>
  <si>
    <t>es 2860$</t>
  </si>
  <si>
    <t>Roxana Zerbonia Area 9 L.18</t>
  </si>
  <si>
    <t>Miryam Area 9 Lote 177</t>
  </si>
  <si>
    <t>Nueces mariposa</t>
  </si>
  <si>
    <t>Harina de almendrasn sin piel</t>
  </si>
  <si>
    <t>Miel pura NANI</t>
  </si>
  <si>
    <t>Cacao amargo MAYANA</t>
  </si>
  <si>
    <t>Azucar impalpable MAYANA</t>
  </si>
  <si>
    <t>Chip chocolate alpino semiamargo</t>
  </si>
  <si>
    <t>harina almendras PURA</t>
  </si>
  <si>
    <t>Mariana</t>
  </si>
  <si>
    <t>harina de almendrass sin piel</t>
  </si>
  <si>
    <t>Bibiana Area 2 Lote95</t>
  </si>
  <si>
    <t>Rachel Area 9 L. 38</t>
  </si>
  <si>
    <t>miel NANI</t>
  </si>
  <si>
    <t>Ailen Siboldi A. 9 L. 61</t>
  </si>
  <si>
    <t>Gabriela Area 7 Lote 53</t>
  </si>
  <si>
    <t xml:space="preserve">Romina Mozzon Area 5 </t>
  </si>
  <si>
    <t>Mani tostado CON SAL</t>
  </si>
  <si>
    <t>Mermelada Frutos Rojos</t>
  </si>
  <si>
    <t>Browni Algarroba light</t>
  </si>
  <si>
    <t>12 unidades</t>
  </si>
  <si>
    <t>Granola Energetica Archimboldo</t>
  </si>
  <si>
    <t>Karen Area 10 L. 64</t>
  </si>
  <si>
    <t>Mermelada de Zapallo</t>
  </si>
  <si>
    <t>Victor Area 1 L. 251</t>
  </si>
  <si>
    <t>Pasta mani</t>
  </si>
  <si>
    <t>Mica Gym</t>
  </si>
  <si>
    <t>Tony area 9</t>
  </si>
  <si>
    <t>Emilie Area 12 L.564</t>
  </si>
  <si>
    <t>Harina de almendras CON PIEL</t>
  </si>
  <si>
    <t>Lino</t>
  </si>
  <si>
    <t>Chechu Area 10 L. 168</t>
  </si>
  <si>
    <t>Azucar mascabo 500gr</t>
  </si>
  <si>
    <t>Leticia Parry Area 2 L. 181</t>
  </si>
  <si>
    <t>Mani tostado sin sal</t>
  </si>
  <si>
    <t xml:space="preserve">harina arroz </t>
  </si>
  <si>
    <t>daniela edificio 14</t>
  </si>
  <si>
    <t>galletitas nutresan algarroba</t>
  </si>
  <si>
    <t>alfajor nuez y dulce de leche celienergy</t>
  </si>
  <si>
    <t>galletitas celienergy nuez</t>
  </si>
  <si>
    <t>galletitas celienergy cacao y mani</t>
  </si>
  <si>
    <t>alfajor chocolate light dulce de leche sin azucar</t>
  </si>
  <si>
    <t>galletitas nutresan naranja</t>
  </si>
  <si>
    <t>galletitas nutresan avena</t>
  </si>
  <si>
    <t xml:space="preserve">alfajor de algarroba con stevia </t>
  </si>
  <si>
    <t>Andrea</t>
  </si>
  <si>
    <t>galletitas nutresan c/miel</t>
  </si>
  <si>
    <t>Miel liquida Entrenuts</t>
  </si>
  <si>
    <t>Pasta de Mani Entrenuts</t>
  </si>
  <si>
    <t>Luis edif 41</t>
  </si>
  <si>
    <t>stevia</t>
  </si>
  <si>
    <t>Pago transferencia ok</t>
  </si>
  <si>
    <t>Paola A10</t>
  </si>
  <si>
    <t>hatina almendras sin piel</t>
  </si>
  <si>
    <t>Ile</t>
  </si>
  <si>
    <t>miel nani 500gr</t>
  </si>
  <si>
    <t>Cami Gonzalez</t>
  </si>
  <si>
    <t>Pau edif 46</t>
  </si>
  <si>
    <t>Gisela Area 13 L. 229</t>
  </si>
  <si>
    <t>Omega 3 + chia original green</t>
  </si>
  <si>
    <t>celienergy zapallo y algarroba</t>
  </si>
  <si>
    <t>alfajor celienergy nuez ddl</t>
  </si>
  <si>
    <t>pago transferencia  13.500</t>
  </si>
  <si>
    <t>Amelie</t>
  </si>
  <si>
    <t>Bicarbonato de sodio</t>
  </si>
  <si>
    <t>pago transferencia 20.400</t>
  </si>
  <si>
    <t>Carmen Cuellar Area 1 L.189</t>
  </si>
  <si>
    <t>Mix berris</t>
  </si>
  <si>
    <t>ACeite de coco neutro 360cc</t>
  </si>
  <si>
    <t>Caju natural</t>
  </si>
  <si>
    <t>Chia</t>
  </si>
  <si>
    <t>Pato Area 2</t>
  </si>
  <si>
    <t>Marcela Area 9 Lote 214</t>
  </si>
  <si>
    <t>Marcela Area 2 Lote 6</t>
  </si>
  <si>
    <t>galletitas</t>
  </si>
  <si>
    <t>resveratrol</t>
  </si>
  <si>
    <t>Amelia Area 2</t>
  </si>
  <si>
    <t>Stevia Jual 250cc</t>
  </si>
  <si>
    <t>pago transf $ 37.300</t>
  </si>
  <si>
    <t>Chechu Area 10</t>
  </si>
  <si>
    <t>cereal con chocolate</t>
  </si>
  <si>
    <t>pago trans $27.500</t>
  </si>
  <si>
    <t>Ivana Area 6 lote 140</t>
  </si>
  <si>
    <t>choco alpino SEMIAMARGO 500gr tableta</t>
  </si>
  <si>
    <t>pago y entregado $5mil</t>
  </si>
  <si>
    <t>Raul Area 8 L. 59</t>
  </si>
  <si>
    <t xml:space="preserve">Miel nani </t>
  </si>
  <si>
    <t>pago trans $ 12.100</t>
  </si>
  <si>
    <t>Juieta A. 13 L. 181</t>
  </si>
  <si>
    <t>Aceite de coco NEUTRO ENTRENUTS</t>
  </si>
  <si>
    <t xml:space="preserve">Granola Pasta de Mani Fitness </t>
  </si>
  <si>
    <t>harina almendra con piel</t>
  </si>
  <si>
    <t>Pago trans $ 21.200</t>
  </si>
  <si>
    <t>Jesica Area 6 Lote 266</t>
  </si>
  <si>
    <t xml:space="preserve">aceite de coco NEUTRO </t>
  </si>
  <si>
    <t>300gr</t>
  </si>
  <si>
    <t>harina de arroz</t>
  </si>
  <si>
    <t>Fecula Mandioca</t>
  </si>
  <si>
    <t>pago efectivo $ 40.000</t>
  </si>
  <si>
    <t>Mercedes</t>
  </si>
  <si>
    <t>pago 6/10 $12.900 transf</t>
  </si>
  <si>
    <t>falta dar (retira 7/10 )</t>
  </si>
  <si>
    <t>cacao</t>
  </si>
  <si>
    <t>pago efectivo $ 24.100</t>
  </si>
  <si>
    <t>Marta Area 8</t>
  </si>
  <si>
    <t>Miel Nani  1kg</t>
  </si>
  <si>
    <t>harina de almendras con piel</t>
  </si>
  <si>
    <t>P transferencia $ 8mil$5mil</t>
  </si>
  <si>
    <t>Luci Area 10 L. 267</t>
  </si>
  <si>
    <t>Mix con bananitas</t>
  </si>
  <si>
    <t>miel 1kg</t>
  </si>
  <si>
    <t>pago transferencia $18.350</t>
  </si>
  <si>
    <t>Adriana Viera A. 1 L. 69</t>
  </si>
  <si>
    <t>pago transf $ 4.4400</t>
  </si>
  <si>
    <t>semillas de calabaza</t>
  </si>
  <si>
    <t>pago trans $ 24.000</t>
  </si>
  <si>
    <t>pago transferencia $ 70.900</t>
  </si>
  <si>
    <t>Andrea A. 1 Lote 507</t>
  </si>
  <si>
    <t xml:space="preserve">Castañas natural </t>
  </si>
  <si>
    <t>Gelatina sin sabor</t>
  </si>
  <si>
    <t>Yerba ROAPIPO suave</t>
  </si>
  <si>
    <t>pago transf $ 30.400</t>
  </si>
  <si>
    <t>pago transferencia $7700</t>
  </si>
  <si>
    <t>Gisela Antunez Area 8</t>
  </si>
  <si>
    <t>Mix runner</t>
  </si>
  <si>
    <t>pago transferencia $88miñ</t>
  </si>
  <si>
    <t>Ailen area 9 L. 61</t>
  </si>
  <si>
    <t>Castañas de para</t>
  </si>
  <si>
    <t>harina de algarroba</t>
  </si>
  <si>
    <t>pago transfer $3.600</t>
  </si>
  <si>
    <t>nany área 1 L. 496</t>
  </si>
  <si>
    <t>azúcar mascabo de 500gr</t>
  </si>
  <si>
    <t>Agus área 2 L. 269</t>
  </si>
  <si>
    <t>Mix runner con bananitas</t>
  </si>
  <si>
    <t>pago transferencia 28.800</t>
  </si>
  <si>
    <t>Belen Area 5 L.290</t>
  </si>
  <si>
    <t>pago efectivo $ 13.700</t>
  </si>
  <si>
    <t>josefina área 2 lote 207</t>
  </si>
  <si>
    <t>leche en polvo de coco</t>
  </si>
  <si>
    <t xml:space="preserve">harina Almendras sin piel </t>
  </si>
  <si>
    <t>a mi, devolver ---&gt;</t>
  </si>
  <si>
    <t>pago transferencia $17mil</t>
  </si>
  <si>
    <t>bibi área 2 lote 95</t>
  </si>
  <si>
    <t>mix berri</t>
  </si>
  <si>
    <t>pago transferencia 38.800</t>
  </si>
  <si>
    <t>Emilia área 1 l. 264</t>
  </si>
  <si>
    <t>castañas tostadas saldas</t>
  </si>
  <si>
    <t>pago trans $17.400</t>
  </si>
  <si>
    <t>Aldana área 2</t>
  </si>
  <si>
    <t>pago transf $2500</t>
  </si>
  <si>
    <t>Julieta Area 13 L. 181</t>
  </si>
  <si>
    <t>Pasta de mani NATURAL</t>
  </si>
  <si>
    <t>pago transf $40.500</t>
  </si>
  <si>
    <t>Florencia Area 11 L. 205</t>
  </si>
  <si>
    <t>Mix runner sin mani</t>
  </si>
  <si>
    <t>pago efect. quedo a favor 300</t>
  </si>
  <si>
    <t>Alicia área 2</t>
  </si>
  <si>
    <t>miel entrnuts cremosa</t>
  </si>
  <si>
    <t>Sole Maderas</t>
  </si>
  <si>
    <t>Mix de semillas</t>
  </si>
  <si>
    <t>semillas de chia</t>
  </si>
  <si>
    <t>mani con cchocolate semiamargo</t>
  </si>
  <si>
    <t>Mama</t>
  </si>
  <si>
    <t>canela</t>
  </si>
  <si>
    <t>pago transf $ 92.600</t>
  </si>
  <si>
    <t>Mix criollo runner</t>
  </si>
  <si>
    <t>granola archimboldo natural</t>
  </si>
  <si>
    <t>pasta de mani natural</t>
  </si>
  <si>
    <t>mix crrvecero</t>
  </si>
  <si>
    <t>pago transf $24mil</t>
  </si>
  <si>
    <t>Pamela Area 7 L. 207</t>
  </si>
  <si>
    <t>pago transf $65.600</t>
  </si>
  <si>
    <t xml:space="preserve">Graciela área 8 l. </t>
  </si>
  <si>
    <t>pago transf $18.000</t>
  </si>
  <si>
    <t>RAchel Area 9 L. 38</t>
  </si>
  <si>
    <t>pago transf 14.000</t>
  </si>
  <si>
    <t>Tony Area 9</t>
  </si>
  <si>
    <t>Cacao amargo</t>
  </si>
  <si>
    <t>Pago transferencia 51.700</t>
  </si>
  <si>
    <t>Natalia</t>
  </si>
  <si>
    <t>Mix crioolo o runner sin mani</t>
  </si>
  <si>
    <t xml:space="preserve">Emelie Area </t>
  </si>
  <si>
    <t>Ciruelas sin carozo</t>
  </si>
  <si>
    <t>semillas de girasol</t>
  </si>
  <si>
    <t>Ade Koffman Area 7</t>
  </si>
  <si>
    <t>pago transferencia 31.300</t>
  </si>
  <si>
    <t>Mili Alvarez Area 5 lote 164</t>
  </si>
  <si>
    <t>Miel aldeva</t>
  </si>
  <si>
    <t>Aceite de coco entrenuts 360 NEUTRO</t>
  </si>
  <si>
    <t>Azucar Mascabo 500gr</t>
  </si>
  <si>
    <t>a favor $300</t>
  </si>
  <si>
    <t>Alicia Area 2</t>
  </si>
  <si>
    <t>Alejandra Edif 2</t>
  </si>
  <si>
    <t xml:space="preserve">Harina de Almendras sin piel </t>
  </si>
  <si>
    <t>Granola kuati berry y coco</t>
  </si>
  <si>
    <t>Granola Kuati chocolate crunch</t>
  </si>
  <si>
    <t>Vero Edif 17</t>
  </si>
  <si>
    <t>Granola Archimboldo crujiente</t>
  </si>
  <si>
    <t>pago transferencia 31.800</t>
  </si>
  <si>
    <t>Leticia área 2</t>
  </si>
  <si>
    <t>pasta de maní natural</t>
  </si>
  <si>
    <t xml:space="preserve">browni de algarroba </t>
  </si>
  <si>
    <t>Yerba Legado 500gr</t>
  </si>
  <si>
    <t>pague tranf</t>
  </si>
  <si>
    <t>pago transf 11.300</t>
  </si>
  <si>
    <t>Fabiana (cuñada)</t>
  </si>
  <si>
    <t>pago transf 23.100</t>
  </si>
  <si>
    <t>Fabiana Barbieri</t>
  </si>
  <si>
    <t>Galletitas boccone avena y nuez</t>
  </si>
  <si>
    <t>Galletias boccone avena y pasas de uva</t>
  </si>
  <si>
    <t>Granola Archimboldo Premium crujiente</t>
  </si>
  <si>
    <t>Mix criollo runner CON BANANITAS</t>
  </si>
  <si>
    <t>galletitas celienegry cacao</t>
  </si>
  <si>
    <t>Pago transf 14mil</t>
  </si>
  <si>
    <t>Ivana Area 6</t>
  </si>
  <si>
    <t>pago transferencia 24.900</t>
  </si>
  <si>
    <t>Carolina Suarez - Loma verde</t>
  </si>
  <si>
    <t xml:space="preserve">mix de semillas </t>
  </si>
  <si>
    <t>harina de garbanzo</t>
  </si>
  <si>
    <t>pago transf 7700</t>
  </si>
  <si>
    <t>Agus Area 2</t>
  </si>
  <si>
    <t>Leticia Area 2</t>
  </si>
  <si>
    <t>pago trans 35200</t>
  </si>
  <si>
    <t>Aldi</t>
  </si>
  <si>
    <t xml:space="preserve">Castañas naturales </t>
  </si>
  <si>
    <t>pago 21.600 trans</t>
  </si>
  <si>
    <t>Lorena Area 10 lote 242</t>
  </si>
  <si>
    <t>pago trans 24.900 (todo junto)</t>
  </si>
  <si>
    <t>Carolina Suarez</t>
  </si>
  <si>
    <t xml:space="preserve">Mix criollo o runner </t>
  </si>
  <si>
    <t>pago transf 14000</t>
  </si>
  <si>
    <t>Alicia Area 1 Lote 69</t>
  </si>
  <si>
    <t>pago transf 4400</t>
  </si>
  <si>
    <t>Jime mama de Nacho cole</t>
  </si>
  <si>
    <t>mariana contante edif 14</t>
  </si>
  <si>
    <t>pago traf</t>
  </si>
  <si>
    <t>arandanos pasas</t>
  </si>
  <si>
    <t>Andrea Basso edf 14</t>
  </si>
  <si>
    <t>harina dealmendras</t>
  </si>
  <si>
    <t>mantequilla mani</t>
  </si>
  <si>
    <t>Cami</t>
  </si>
  <si>
    <t>Nora</t>
  </si>
  <si>
    <t>Victor Area 1 L.251</t>
  </si>
  <si>
    <t xml:space="preserve">Mariliana Area 10 Lote </t>
  </si>
  <si>
    <t xml:space="preserve">Cajú brasilero </t>
  </si>
  <si>
    <t xml:space="preserve">Tableta Alpino semiamargo </t>
  </si>
  <si>
    <t xml:space="preserve">pago 56mil </t>
  </si>
  <si>
    <t>Agustinita</t>
  </si>
  <si>
    <t>Harina de almendras con piel</t>
  </si>
  <si>
    <t>Mermleada zapallo</t>
  </si>
  <si>
    <t>barritas dulce del leche</t>
  </si>
  <si>
    <t>karen zander edif 15</t>
  </si>
  <si>
    <t>ciruela</t>
  </si>
  <si>
    <t xml:space="preserve">sesamo blanco </t>
  </si>
  <si>
    <t>miel</t>
  </si>
  <si>
    <t>pago transferencia 56mil</t>
  </si>
  <si>
    <t xml:space="preserve">Harina de almendras </t>
  </si>
  <si>
    <t>Castañas caju saladas</t>
  </si>
  <si>
    <t>Laura Area 10 lote 160</t>
  </si>
  <si>
    <t>Pasta de mani proteica cookies &amp; Cream</t>
  </si>
  <si>
    <t>Caju tostadas SIN SAL</t>
  </si>
  <si>
    <t>yerba kalena roja</t>
  </si>
  <si>
    <t>Granola Archimboldo Kuati</t>
  </si>
  <si>
    <t>flor</t>
  </si>
  <si>
    <t>6kg</t>
  </si>
  <si>
    <t>Jorge futbol doble 5</t>
  </si>
  <si>
    <t>Almendras con chocolate</t>
  </si>
  <si>
    <t>Gerardo Area 10</t>
  </si>
  <si>
    <t>limonadas menta y jenjibre</t>
  </si>
  <si>
    <t>Andrea área 1 lote 507</t>
  </si>
  <si>
    <t>ghee</t>
  </si>
  <si>
    <t>Mermelada higo</t>
  </si>
  <si>
    <t>barritas proteicas</t>
  </si>
  <si>
    <t>Granola Pasta de Mani Kuati</t>
  </si>
  <si>
    <t>Granola Natural Archimboldo</t>
  </si>
  <si>
    <t>Maca</t>
  </si>
  <si>
    <t>pago tranaf</t>
  </si>
  <si>
    <t>nori</t>
  </si>
  <si>
    <t>Andrea edificio 14</t>
  </si>
  <si>
    <t>mix criollo SIN Mani</t>
  </si>
  <si>
    <t>Mariana Constante</t>
  </si>
  <si>
    <t xml:space="preserve">miel nani </t>
  </si>
  <si>
    <t>Chip semiamargo</t>
  </si>
  <si>
    <t>galletitas celienergy cacao</t>
  </si>
  <si>
    <t>browni algarroba</t>
  </si>
  <si>
    <t>Lucia Area 10 Lote 267</t>
  </si>
  <si>
    <t>aceite de coco neutro 200cc</t>
  </si>
  <si>
    <t>leche de almendras cocoon</t>
  </si>
  <si>
    <t>pago en efectivo</t>
  </si>
  <si>
    <t>pago 20mil</t>
  </si>
  <si>
    <t>sus area 5</t>
  </si>
  <si>
    <t>clorofila x 30</t>
  </si>
  <si>
    <t xml:space="preserve">aceite orégano </t>
  </si>
  <si>
    <t>pago 14.100</t>
  </si>
  <si>
    <t xml:space="preserve">Aldi </t>
  </si>
  <si>
    <t>granola kuati original</t>
  </si>
  <si>
    <t>fibra</t>
  </si>
  <si>
    <t>pago 8500</t>
  </si>
  <si>
    <t>Florencia Area 13 Lote 2</t>
  </si>
  <si>
    <t xml:space="preserve">Fibra </t>
  </si>
  <si>
    <t>alejandro</t>
  </si>
  <si>
    <t>vero edif 17</t>
  </si>
  <si>
    <t>granola archimboldo premium</t>
  </si>
  <si>
    <t>Gabriela Garcia</t>
  </si>
  <si>
    <t>durazno</t>
  </si>
  <si>
    <t>leche coco</t>
  </si>
  <si>
    <t>Maria Lorena Iribarren edif 40</t>
  </si>
  <si>
    <t>Natalia Rossi edif 47</t>
  </si>
  <si>
    <t xml:space="preserve">mani con sal </t>
  </si>
  <si>
    <t>pago 12mil</t>
  </si>
  <si>
    <t>Victor Area 1 Lote</t>
  </si>
  <si>
    <t>Mix criollo</t>
  </si>
  <si>
    <t>Ailen Area 9 Lote 61</t>
  </si>
  <si>
    <t>Nuez mariposa</t>
  </si>
  <si>
    <t>Yerba roapipo</t>
  </si>
  <si>
    <t>Coco rayado</t>
  </si>
  <si>
    <t>pago 6.000</t>
  </si>
  <si>
    <t>Adriana Davi Area 12</t>
  </si>
  <si>
    <t>gabi garcia</t>
  </si>
  <si>
    <t>duraznos</t>
  </si>
  <si>
    <t>rodolfo edif 33</t>
  </si>
  <si>
    <t>daniela edif 18</t>
  </si>
  <si>
    <t>chip chocolate negro</t>
  </si>
  <si>
    <t>Marina: 14/11</t>
  </si>
  <si>
    <t>Me falta pagar 500gr de fibra</t>
  </si>
  <si>
    <t>marta edif 14</t>
  </si>
  <si>
    <t>3 botellas limonada</t>
  </si>
  <si>
    <t>natalia edif 14</t>
  </si>
  <si>
    <t>Jimena</t>
  </si>
  <si>
    <t>kg</t>
  </si>
  <si>
    <t>garrapinada</t>
  </si>
  <si>
    <t>sal fina himalaya</t>
  </si>
  <si>
    <t>Florencia edif 50</t>
  </si>
  <si>
    <t>granola natural</t>
  </si>
  <si>
    <t>stevia jual</t>
  </si>
  <si>
    <t>norma edif 50</t>
  </si>
  <si>
    <t>Gustavo área 1 lote 102</t>
  </si>
  <si>
    <t>Mariana Dalmon area 7 lote 98</t>
  </si>
  <si>
    <t>Granola Kuati Fitnes</t>
  </si>
  <si>
    <t>Josefina Area 2</t>
  </si>
  <si>
    <t>Bibi Area 2</t>
  </si>
  <si>
    <t>Mix Berry</t>
  </si>
  <si>
    <t>Cereal con chocolate</t>
  </si>
  <si>
    <t>Emilie area 13 lote 564</t>
  </si>
  <si>
    <t>aceite de oregano</t>
  </si>
  <si>
    <t>Caju brasilero</t>
  </si>
  <si>
    <t>Amigo de Victor Area 1 Lote 251</t>
  </si>
  <si>
    <t>Granola archimboldo energetica</t>
  </si>
  <si>
    <t>Thatta Franco Area 2</t>
  </si>
  <si>
    <t>Aceite de coco NEUTRO</t>
  </si>
  <si>
    <t>500cc</t>
  </si>
  <si>
    <t>Pasta de mani Proteica saltes caramel</t>
  </si>
  <si>
    <t>Mix criollo runner sin mani</t>
  </si>
  <si>
    <t>Laura Area 13 Lote 113</t>
  </si>
  <si>
    <t>Castañas de caju tostadas sin sal</t>
  </si>
  <si>
    <t>Kalena roja</t>
  </si>
  <si>
    <t>mantequilla de mani</t>
  </si>
  <si>
    <t>Karina Guzman Area 1 Lote 91</t>
  </si>
  <si>
    <t>Moringa en polvo</t>
  </si>
  <si>
    <t>90gr</t>
  </si>
  <si>
    <t>Mix criollo con BANANITAS</t>
  </si>
  <si>
    <t>cristina morales (flor)</t>
  </si>
  <si>
    <t>mix criollo con mani</t>
  </si>
  <si>
    <t>pagado tranf</t>
  </si>
  <si>
    <t xml:space="preserve">avellanas </t>
  </si>
  <si>
    <t>Rachel Area  9 Lote 38</t>
  </si>
  <si>
    <t>Granola Crujiente Archimboldo</t>
  </si>
  <si>
    <t>Maria area 11 lote 193</t>
  </si>
  <si>
    <t>granola chococrunch kuati</t>
  </si>
  <si>
    <t>Claudia brasil 2375</t>
  </si>
  <si>
    <t>bicarbonatosodio</t>
  </si>
  <si>
    <t>yerba legado organica</t>
  </si>
  <si>
    <t>Natalia Area 11 Lote 109</t>
  </si>
  <si>
    <t>Chechu Area 10 Lote 168</t>
  </si>
  <si>
    <t>Flor de Jamaica o Hibicus</t>
  </si>
  <si>
    <t>pagadoooo</t>
  </si>
  <si>
    <t>MArina</t>
  </si>
  <si>
    <t xml:space="preserve">Arroz Yamani </t>
  </si>
  <si>
    <t>Fibra</t>
  </si>
  <si>
    <t>Galletitas Celienergy cacao</t>
  </si>
  <si>
    <t>Bicarbonato</t>
  </si>
  <si>
    <t>Azucar Mascabo</t>
  </si>
  <si>
    <t>pagado</t>
  </si>
  <si>
    <t>kalena</t>
  </si>
  <si>
    <t>pasta mani natural</t>
  </si>
  <si>
    <t>granola kuati</t>
  </si>
  <si>
    <t>Maria del Valle Area 1 L.247</t>
  </si>
  <si>
    <t>Susana Area 5 Lote 23</t>
  </si>
  <si>
    <t>clorofila x 60</t>
  </si>
  <si>
    <t>Daniela edificio 38</t>
  </si>
  <si>
    <t>castanas caju natural</t>
  </si>
  <si>
    <t>Patricia suegra</t>
  </si>
  <si>
    <t>bicarbonato sodio</t>
  </si>
  <si>
    <t xml:space="preserve">gelatina sin sabor </t>
  </si>
  <si>
    <t>aceite mct</t>
  </si>
  <si>
    <t>10 kg</t>
  </si>
  <si>
    <t>miel aldeva envase vidrio</t>
  </si>
  <si>
    <t>aceite coco neutro entrenuts x 360cc</t>
  </si>
  <si>
    <t>Agos</t>
  </si>
  <si>
    <t>Naty Rossi edif 47</t>
  </si>
  <si>
    <t>mix pan dulce</t>
  </si>
  <si>
    <t>Leticia Parry ARea 2 Lote 181</t>
  </si>
  <si>
    <t>Brownies Algarroba</t>
  </si>
  <si>
    <t>pago 70mil eftvo, 3mil trasn</t>
  </si>
  <si>
    <t>Carolina Suarez (loma verde)</t>
  </si>
  <si>
    <t>faltan 800$</t>
  </si>
  <si>
    <t>Harina de almendrras con piel</t>
  </si>
  <si>
    <t>Harina de avena</t>
  </si>
  <si>
    <t>Bandeja navidad</t>
  </si>
  <si>
    <t>Maru edif 40</t>
  </si>
  <si>
    <t>yesse</t>
  </si>
  <si>
    <t>ultraresveratrol</t>
  </si>
  <si>
    <t>no vino</t>
  </si>
  <si>
    <t>alejandra edif 2</t>
  </si>
  <si>
    <t>Liliana Gonzalez</t>
  </si>
  <si>
    <t>castanas caju tostadas</t>
  </si>
  <si>
    <t>Vero Iniguez</t>
  </si>
  <si>
    <t xml:space="preserve">Alejandro </t>
  </si>
  <si>
    <t xml:space="preserve">Dora Area 2 Lote </t>
  </si>
  <si>
    <t>luz</t>
  </si>
  <si>
    <t>galletitas cellien</t>
  </si>
  <si>
    <t>1,5kg</t>
  </si>
  <si>
    <t xml:space="preserve">Marta </t>
  </si>
  <si>
    <t>Walter edif 17</t>
  </si>
  <si>
    <t xml:space="preserve">mix europeo </t>
  </si>
  <si>
    <t>Moira edificio 24</t>
  </si>
  <si>
    <t>Martin edif 14</t>
  </si>
  <si>
    <t>cami</t>
  </si>
  <si>
    <t>pasa uva con chocolate</t>
  </si>
  <si>
    <t>0.5kg</t>
  </si>
  <si>
    <t>Yesse</t>
  </si>
  <si>
    <t>SAN SEBASTIAN</t>
  </si>
  <si>
    <t xml:space="preserve">Marianela Area 6 </t>
  </si>
  <si>
    <t>Caju tostadas saladas</t>
  </si>
  <si>
    <t>Mantequilla mani NATURAL</t>
  </si>
  <si>
    <t>Granola mani kuati verde</t>
  </si>
  <si>
    <t xml:space="preserve">ya tengo </t>
  </si>
  <si>
    <t>polvo para hornear</t>
  </si>
  <si>
    <t>PAGO EFECTIVO 51mil</t>
  </si>
  <si>
    <t>Monica Area 12 lote 85</t>
  </si>
  <si>
    <t>Bandeja Navideña</t>
  </si>
  <si>
    <t>Combo navideño</t>
  </si>
  <si>
    <t>Harina pistacho</t>
  </si>
  <si>
    <t>NO PEDIR,TENGO</t>
  </si>
  <si>
    <t>THATTA FRANCO</t>
  </si>
  <si>
    <t>Pasta de Mani SALTES DE CARAMEL</t>
  </si>
  <si>
    <t>san sebastian</t>
  </si>
  <si>
    <t>mecina</t>
  </si>
  <si>
    <t>castañas caju saladas</t>
  </si>
  <si>
    <t>pague 10.900$ en envol</t>
  </si>
  <si>
    <t>torio de navidad</t>
  </si>
  <si>
    <t xml:space="preserve">galletitas celienergy nuez </t>
  </si>
  <si>
    <t>kalena que debia</t>
  </si>
  <si>
    <t>h almendras sin piel</t>
  </si>
  <si>
    <t>3400 ???</t>
  </si>
  <si>
    <t>pago transfere</t>
  </si>
  <si>
    <t>Susy Area 5 Lote 23</t>
  </si>
  <si>
    <t xml:space="preserve">Miel Nani </t>
  </si>
  <si>
    <t xml:space="preserve">Paola Area 10 Lote </t>
  </si>
  <si>
    <t>ursula area 11 lote 220</t>
  </si>
  <si>
    <t>rroz yamani</t>
  </si>
  <si>
    <t>pata mani natural entrenuts</t>
  </si>
  <si>
    <t>castañas caju tostadas saladas</t>
  </si>
  <si>
    <t>daniela edi 38</t>
  </si>
  <si>
    <t>granola archiboldo energética</t>
  </si>
  <si>
    <t>bandeja navidad</t>
  </si>
  <si>
    <t>Naty edif 47</t>
  </si>
  <si>
    <t xml:space="preserve">mix cervecero </t>
  </si>
  <si>
    <t>Támara edif 50</t>
  </si>
  <si>
    <t>viví área 2 lote 73</t>
  </si>
  <si>
    <t>bandeja navideña</t>
  </si>
  <si>
    <t>Vicky Area 5 Lote 307</t>
  </si>
  <si>
    <t>Bandeja navideña</t>
  </si>
  <si>
    <t>san sebstain</t>
  </si>
  <si>
    <t>analia area 9 lote 83</t>
  </si>
  <si>
    <t>Maria Area 11 Lote 193</t>
  </si>
  <si>
    <t>Fernando Messina area 11 lote 182</t>
  </si>
  <si>
    <t>Mix criollo sin mani</t>
  </si>
  <si>
    <t xml:space="preserve">castañas tostadas </t>
  </si>
  <si>
    <t>pasta de mani proteica</t>
  </si>
  <si>
    <t>Analia Area 9 Lote 83</t>
  </si>
  <si>
    <t>PISTACHOS</t>
  </si>
  <si>
    <t>500GR</t>
  </si>
  <si>
    <t>vinagre manzana organico</t>
  </si>
  <si>
    <t>Natalia Area 13 Lote 79</t>
  </si>
  <si>
    <t>Bandeja Navidad</t>
  </si>
  <si>
    <t xml:space="preserve">san sebastian </t>
  </si>
  <si>
    <t>Laura Tuli Area 13 Lote 113</t>
  </si>
  <si>
    <t>Castañas tostadas sin sal</t>
  </si>
  <si>
    <t>Julieta Lago Area 13 Lote 181</t>
  </si>
  <si>
    <t>Chia premium</t>
  </si>
  <si>
    <t>granola pasta mani  fitness kuati</t>
  </si>
  <si>
    <t>Flor de jamaica</t>
  </si>
  <si>
    <t>Harina de garbanzo</t>
  </si>
  <si>
    <t>MArcela Area 2 (hna)</t>
  </si>
  <si>
    <t>EN BOLSA SEPARADAS</t>
  </si>
  <si>
    <t>san sebastinan</t>
  </si>
  <si>
    <t>Mermelada de frutilla</t>
  </si>
  <si>
    <t>Miel de vidrio</t>
  </si>
  <si>
    <t>Alejandra Edificio 2</t>
  </si>
  <si>
    <t>Galletitas Nutresan Avena</t>
  </si>
  <si>
    <t>Aceite de coco neutro 360gr</t>
  </si>
  <si>
    <t>granola kuati natural</t>
  </si>
  <si>
    <t>vinagre manzana</t>
  </si>
  <si>
    <t>Kalena</t>
  </si>
  <si>
    <t>galletitas celienergy nuez bañadas</t>
  </si>
  <si>
    <t>Aceite oliva blend</t>
  </si>
  <si>
    <t>Florencia Garcia</t>
  </si>
  <si>
    <t>Harina de almendra sin piel</t>
  </si>
  <si>
    <t>13kg</t>
  </si>
  <si>
    <t>Harina de vino</t>
  </si>
  <si>
    <t>Castañas de caju natural</t>
  </si>
  <si>
    <t>pago 10k efectivo y resto tranf</t>
  </si>
  <si>
    <t>Daniela Edificio 14</t>
  </si>
  <si>
    <t xml:space="preserve">alfajores celienergy nuez  </t>
  </si>
  <si>
    <t>galletitas celienergy bañada</t>
  </si>
  <si>
    <t>galletita nutresan algarroba</t>
  </si>
  <si>
    <t>madre Florencia</t>
  </si>
  <si>
    <t>incluido en florencia</t>
  </si>
  <si>
    <t>san sebas</t>
  </si>
  <si>
    <t>Mariela</t>
  </si>
  <si>
    <t>Luisa Area 7 Lote 281</t>
  </si>
  <si>
    <t xml:space="preserve">Victor Area 1 Lote </t>
  </si>
  <si>
    <t xml:space="preserve">Pasta de Mani natural </t>
  </si>
  <si>
    <t xml:space="preserve">mix runner </t>
  </si>
  <si>
    <t>Vero edif 17</t>
  </si>
  <si>
    <t>Andrea Basso edif 14</t>
  </si>
  <si>
    <t>harina almendras  sin piel</t>
  </si>
  <si>
    <t>Naty edif 14</t>
  </si>
  <si>
    <t>gustavo area 1</t>
  </si>
  <si>
    <t>Mercedes area 1 lote 90</t>
  </si>
  <si>
    <t>bastón parmesano</t>
  </si>
  <si>
    <t>bastón parmesano y</t>
  </si>
  <si>
    <t>karina area 1 lote 459</t>
  </si>
  <si>
    <t>castañas tostadas con sal</t>
  </si>
  <si>
    <t>adriana area 1 lote 69</t>
  </si>
  <si>
    <t>datiles 1kg</t>
  </si>
  <si>
    <t>castañas tostadas c sal</t>
  </si>
  <si>
    <t>pan rallado keto</t>
  </si>
  <si>
    <t>camilo area 10</t>
  </si>
  <si>
    <t>Jessica area 6</t>
  </si>
  <si>
    <t>aceite oliva 900 ml blend</t>
  </si>
  <si>
    <t xml:space="preserve">quinua </t>
  </si>
  <si>
    <t>edif 14inti</t>
  </si>
  <si>
    <t xml:space="preserve">fecula mandioca </t>
  </si>
  <si>
    <t>granola contigo natural</t>
  </si>
  <si>
    <t>inti</t>
  </si>
  <si>
    <t>jorgelina edif 2</t>
  </si>
  <si>
    <t>claudia av brasil</t>
  </si>
  <si>
    <t>Harina de almenendras sin piel</t>
  </si>
  <si>
    <t>pasas de uva rubias</t>
  </si>
  <si>
    <t>harina de almendras X SEPARADO</t>
  </si>
  <si>
    <t>harina de avena X SEPARADO</t>
  </si>
  <si>
    <t>pago trransferencia</t>
  </si>
  <si>
    <t>harina de almendras CON piel</t>
  </si>
  <si>
    <t>pago 19mil trans</t>
  </si>
  <si>
    <t>Josefina área 2</t>
  </si>
  <si>
    <t>pago 80mil trans 40 mil efctivo</t>
  </si>
  <si>
    <t>Carolina suarez</t>
  </si>
  <si>
    <t>5kg mandioca</t>
  </si>
  <si>
    <t xml:space="preserve">bicarbonato </t>
  </si>
  <si>
    <t>marina yo</t>
  </si>
  <si>
    <t>mariana flor</t>
  </si>
  <si>
    <t>berni edif 18</t>
  </si>
  <si>
    <t>urquiza</t>
  </si>
  <si>
    <t>naty edif 14</t>
  </si>
  <si>
    <t xml:space="preserve">granola koati natural </t>
  </si>
  <si>
    <t xml:space="preserve">mamá </t>
  </si>
  <si>
    <t>an sebas</t>
  </si>
  <si>
    <t>Karina Area 1 Lote459</t>
  </si>
  <si>
    <t>Chechu</t>
  </si>
  <si>
    <t>Mix Cervecero</t>
  </si>
  <si>
    <t>yerba roapopio</t>
  </si>
  <si>
    <t>mercedes</t>
  </si>
  <si>
    <t>mct</t>
  </si>
  <si>
    <t xml:space="preserve">devolvió </t>
  </si>
  <si>
    <t>marina edif 14</t>
  </si>
  <si>
    <t>azucar mascabo 500 gr</t>
  </si>
  <si>
    <t>silvia</t>
  </si>
  <si>
    <t>Coco rallado</t>
  </si>
  <si>
    <t>florencia edificio 50</t>
  </si>
  <si>
    <t>granola arcjimboldo natural</t>
  </si>
  <si>
    <t>pago 80mil trans 40mil efctovo</t>
  </si>
  <si>
    <t xml:space="preserve">carolina Suarez </t>
  </si>
  <si>
    <t xml:space="preserve">este pedido se unio al de la sem proxima </t>
  </si>
  <si>
    <t>miel entrenuts LIQUIDA</t>
  </si>
  <si>
    <t>mani SIN SAL</t>
  </si>
  <si>
    <t>mIX CRIOLLO</t>
  </si>
  <si>
    <t>Fecula de mandioca</t>
  </si>
  <si>
    <t>Harina de algarroba</t>
  </si>
  <si>
    <t>castañas naturales</t>
  </si>
  <si>
    <t>Ailen Area 9 L. 61</t>
  </si>
  <si>
    <t>pasta de mani NATURAL</t>
  </si>
  <si>
    <t>Amigo de Victor todo separado</t>
  </si>
  <si>
    <t xml:space="preserve">mix berry </t>
  </si>
  <si>
    <t xml:space="preserve">san sebas </t>
  </si>
  <si>
    <t xml:space="preserve">Mariana área 7 lote </t>
  </si>
  <si>
    <t>Quinoa separadas!</t>
  </si>
  <si>
    <t>paola area 10</t>
  </si>
  <si>
    <t>Monica</t>
  </si>
  <si>
    <t>chip chocolate blanco</t>
  </si>
  <si>
    <t>azucar impalpable</t>
  </si>
  <si>
    <t>vinagre de manzana</t>
  </si>
  <si>
    <t>hibiscus</t>
  </si>
  <si>
    <t>bicarbonato</t>
  </si>
  <si>
    <t>brownie algarroba epuyen</t>
  </si>
  <si>
    <t>Julieta Lago Area 13 L. 181</t>
  </si>
  <si>
    <t xml:space="preserve">mantequilla de mani natural </t>
  </si>
  <si>
    <t>yerba legado</t>
  </si>
  <si>
    <t>maca negra premium</t>
  </si>
  <si>
    <t>100gr</t>
  </si>
  <si>
    <t>ver si se llega a pedir</t>
  </si>
  <si>
    <t>Lorena Oyarbide Area 10 L. 242</t>
  </si>
  <si>
    <t>Fabiana</t>
  </si>
  <si>
    <t>aceite orégano</t>
  </si>
  <si>
    <t>stevia jual 250 ml</t>
  </si>
  <si>
    <t>pasta mani crocante</t>
  </si>
  <si>
    <t>lili</t>
  </si>
  <si>
    <t>karen edif 15</t>
  </si>
  <si>
    <t>ciruelas (separadas)</t>
  </si>
  <si>
    <t>lila area 6 lote 99</t>
  </si>
  <si>
    <t>miel oura nani multifloral</t>
  </si>
  <si>
    <t>stevia jual x 250ml</t>
  </si>
  <si>
    <t>cacao amargo alcalino</t>
  </si>
  <si>
    <t>mix berries</t>
  </si>
  <si>
    <t>aceite coco entrenuts neutro 360 ml</t>
  </si>
  <si>
    <t>aceite de oregano gotas</t>
  </si>
  <si>
    <t>alfajores nuez y dulce de leche</t>
  </si>
  <si>
    <t>Andrea Basso</t>
  </si>
  <si>
    <t>citrato de magnesio green</t>
  </si>
  <si>
    <t>Daniela Vera</t>
  </si>
  <si>
    <t>Flor edificio 50</t>
  </si>
  <si>
    <t>castañas caju tostadas con sal</t>
  </si>
  <si>
    <t>stevia jual 250ml</t>
  </si>
  <si>
    <t xml:space="preserve">barritas keto </t>
  </si>
  <si>
    <t>ciruelas sin carozo APARTE</t>
  </si>
  <si>
    <t>Mirna edificio 24</t>
  </si>
  <si>
    <t xml:space="preserve">bicarbonato de sodio </t>
  </si>
  <si>
    <t xml:space="preserve">sal himalaya </t>
  </si>
  <si>
    <t>Delfina Area 1 Lote</t>
  </si>
  <si>
    <t>Mix Premium</t>
  </si>
  <si>
    <t>!kg</t>
  </si>
  <si>
    <t>caju saladas</t>
  </si>
  <si>
    <t>alfajores celienergy nuez y dulce de leche</t>
  </si>
  <si>
    <t>mama</t>
  </si>
  <si>
    <t>pao</t>
  </si>
  <si>
    <t>san seb</t>
  </si>
  <si>
    <t>Karina Area 1 Lote 459</t>
  </si>
  <si>
    <t>gustavo Area 1</t>
  </si>
  <si>
    <t>Girasol</t>
  </si>
  <si>
    <t>Miel Nani</t>
  </si>
  <si>
    <t>Delfina Area 1 Lote 160</t>
  </si>
  <si>
    <t xml:space="preserve">pasta de mani natural </t>
  </si>
  <si>
    <t>pago transfe</t>
  </si>
  <si>
    <t>datiles argelia</t>
  </si>
  <si>
    <t>daniela vera</t>
  </si>
  <si>
    <t xml:space="preserve">castañas tostadas saladas </t>
  </si>
  <si>
    <t>Lau</t>
  </si>
  <si>
    <t>citrato de magnesio</t>
  </si>
  <si>
    <t>avena</t>
  </si>
  <si>
    <t>San sebas</t>
  </si>
  <si>
    <t>Ailen Area 9 Lote</t>
  </si>
  <si>
    <t>brenda edif 38</t>
  </si>
  <si>
    <t xml:space="preserve">Marina </t>
  </si>
  <si>
    <t>Pasta de mani natural</t>
  </si>
  <si>
    <t>semillas cacao</t>
  </si>
  <si>
    <t xml:space="preserve">Amiga de Marta </t>
  </si>
  <si>
    <t>semillas de cacao (x separado)</t>
  </si>
  <si>
    <t>PAGO TRANS</t>
  </si>
  <si>
    <t>Rosana Area 9 lote 283</t>
  </si>
  <si>
    <t>Monica Area 1</t>
  </si>
  <si>
    <t>Stevia Jual 600cc</t>
  </si>
  <si>
    <t>castañas Cajú natural</t>
  </si>
  <si>
    <t>Ana</t>
  </si>
  <si>
    <t xml:space="preserve">Duraznos </t>
  </si>
  <si>
    <t>stevia jual 125 ml</t>
  </si>
  <si>
    <t>bicarbonato de sodio</t>
  </si>
  <si>
    <t xml:space="preserve">TOTAL </t>
  </si>
  <si>
    <t>san sebastain</t>
  </si>
  <si>
    <t>granola paquete verde kuati</t>
  </si>
  <si>
    <t>Luisina</t>
  </si>
  <si>
    <t>Nuces</t>
  </si>
  <si>
    <t>Caju Natural</t>
  </si>
  <si>
    <t xml:space="preserve">Mix premium </t>
  </si>
  <si>
    <t>aceite de oliva blem</t>
  </si>
  <si>
    <t xml:space="preserve">chip chocolate blanco </t>
  </si>
  <si>
    <t>cgip choco negro</t>
  </si>
  <si>
    <t xml:space="preserve">mix berries </t>
  </si>
  <si>
    <t>Flor cardozo</t>
  </si>
  <si>
    <t>Fabi</t>
  </si>
  <si>
    <t>Irene área 10 l 345</t>
  </si>
  <si>
    <t>pasta de mani proteica caramel</t>
  </si>
  <si>
    <t>pasta de mani proteica la otra</t>
  </si>
  <si>
    <t>Andrea Sanchez Area 1 lote 507</t>
  </si>
  <si>
    <t xml:space="preserve">harina de mandioca </t>
  </si>
  <si>
    <t>Polvo de hornear</t>
  </si>
  <si>
    <t>semillas de cacao</t>
  </si>
  <si>
    <t>san sebatian</t>
  </si>
  <si>
    <t>tableta de chocolate blanco</t>
  </si>
  <si>
    <t>azucar  mascabo x 500gr</t>
  </si>
  <si>
    <t>mani tostado sin sak</t>
  </si>
  <si>
    <t>mandioca</t>
  </si>
  <si>
    <t>chechu área 10 lote 168</t>
  </si>
  <si>
    <t>mix criollo con bananas</t>
  </si>
  <si>
    <t>Vanesa Area  8 lote 373</t>
  </si>
  <si>
    <t>Mermelada La tranquilina frutilla</t>
  </si>
  <si>
    <t>8kg</t>
  </si>
  <si>
    <t>Mónica</t>
  </si>
  <si>
    <t xml:space="preserve">Polvo de Hornear </t>
  </si>
  <si>
    <t>no retiro ni pago aja</t>
  </si>
  <si>
    <t>Adriana Viera</t>
  </si>
  <si>
    <t>fecula de mandioca</t>
  </si>
  <si>
    <t>Pasta de mani proteica (ver cual)</t>
  </si>
  <si>
    <t>Amigo de Victor</t>
  </si>
  <si>
    <t>4 kg</t>
  </si>
  <si>
    <t>cata edif 50</t>
  </si>
  <si>
    <t>castañas caju sin sal</t>
  </si>
  <si>
    <t>Rocío edif 33</t>
  </si>
  <si>
    <t>támara edif 50</t>
  </si>
  <si>
    <t>edif 2</t>
  </si>
  <si>
    <t>mamá Nori</t>
  </si>
  <si>
    <t>Mermelada de higo la tranquera</t>
  </si>
  <si>
    <t xml:space="preserve">harina garbanzos </t>
  </si>
  <si>
    <t>Erika</t>
  </si>
  <si>
    <t>aceite de coco x 500gr</t>
  </si>
  <si>
    <t>ver si viene</t>
  </si>
  <si>
    <t>rachel area 9 lote 38</t>
  </si>
  <si>
    <t>chocolate alpino tabletas semiamargo</t>
  </si>
  <si>
    <t>Amelie Area 2</t>
  </si>
  <si>
    <t>Lila Marlene Area 6 Lote 99</t>
  </si>
  <si>
    <t>Delfina Area 1</t>
  </si>
  <si>
    <t>Irina Area 5 Lote 316</t>
  </si>
  <si>
    <t>aceite de coco neutro 360cc</t>
  </si>
  <si>
    <t>Mermelada frutos rojos los carolinos</t>
  </si>
  <si>
    <t>alfajor algarroba semillas de zapallo</t>
  </si>
  <si>
    <t>barras keto</t>
  </si>
  <si>
    <t>mermelada arandanos light</t>
  </si>
  <si>
    <t>mermelada frutosrojos light</t>
  </si>
  <si>
    <t>stevia jualx 600 cc</t>
  </si>
  <si>
    <t>Alberto edif34</t>
  </si>
  <si>
    <t xml:space="preserve">maca peruana 500 gr </t>
  </si>
  <si>
    <t>1kg33</t>
  </si>
  <si>
    <t>harina garbanzos</t>
  </si>
  <si>
    <t>sesamo</t>
  </si>
  <si>
    <t>pago efectivo le quedan a favor 800</t>
  </si>
  <si>
    <t>miel x kg</t>
  </si>
  <si>
    <t>Mermelada arandanos</t>
  </si>
  <si>
    <t>caju tostadas sin sak</t>
  </si>
  <si>
    <t>1.5 kg</t>
  </si>
  <si>
    <t>500 g</t>
  </si>
  <si>
    <t>mani sin sin sal</t>
  </si>
  <si>
    <t>azucar mascabo  x 500gr</t>
  </si>
  <si>
    <t>PAGUE</t>
  </si>
  <si>
    <t>6 alfajores celienergy</t>
  </si>
  <si>
    <t xml:space="preserve">ile </t>
  </si>
  <si>
    <t>Alberto edif (38 ex18)</t>
  </si>
  <si>
    <t>hongo melena de leon</t>
  </si>
  <si>
    <t>spirulina en polvo x 90 gr</t>
  </si>
  <si>
    <t>Gustavo area 1 Lote 102</t>
  </si>
  <si>
    <t>cereal con chocolate los carolinos</t>
  </si>
  <si>
    <t>ceci edif 33</t>
  </si>
  <si>
    <t>cacao amargo sin tacc</t>
  </si>
  <si>
    <t>vane detrás edif 25</t>
  </si>
  <si>
    <t>San Sebastian</t>
  </si>
  <si>
    <t>Viviana area 7 lote 233</t>
  </si>
  <si>
    <t>mermelada light de mango</t>
  </si>
  <si>
    <t>mermelada light de membrillo</t>
  </si>
  <si>
    <t>miel nani x 500 gr cremosa</t>
  </si>
  <si>
    <t>pasta mani proteica salted caramel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</si>
</sst>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"/>
    <numFmt numFmtId="165" formatCode="&quot;$&quot;#,##0.00"/>
    <numFmt numFmtId="166" formatCode="d/m/yy"/>
    <numFmt numFmtId="167" formatCode="dd.mm.yy"/>
    <numFmt numFmtId="168" formatCode="d.m"/>
    <numFmt numFmtId="169" formatCode="d/m"/>
    <numFmt numFmtId="170" formatCode="dd.mm"/>
    <numFmt numFmtId="171" formatCode="dd/mm"/>
    <numFmt numFmtId="172" formatCode="dd/mm/yy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sz val="11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sz val="11.0"/>
      <color rgb="FF000000"/>
      <name val="&quot;Helvetica Neue&quot;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6" numFmtId="0" xfId="0" applyAlignment="1" applyFont="1">
      <alignment vertical="bottom"/>
    </xf>
    <xf borderId="0" fillId="4" fontId="6" numFmtId="165" xfId="0" applyAlignment="1" applyFill="1" applyFont="1" applyNumberFormat="1">
      <alignment horizontal="center" shrinkToFit="0" vertical="bottom" wrapText="1"/>
    </xf>
    <xf borderId="0" fillId="0" fontId="7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2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165" xfId="0" applyAlignment="1" applyFont="1" applyNumberFormat="1">
      <alignment horizontal="left" readingOrder="0"/>
    </xf>
    <xf borderId="0" fillId="2" fontId="10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11" numFmtId="0" xfId="0" applyAlignment="1" applyFont="1">
      <alignment vertical="bottom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right" readingOrder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1" fillId="0" fontId="7" numFmtId="0" xfId="0" applyBorder="1" applyFont="1"/>
    <xf borderId="1" fillId="0" fontId="7" numFmtId="3" xfId="0" applyBorder="1" applyFont="1" applyNumberFormat="1"/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2" numFmtId="3" xfId="0" applyBorder="1" applyFont="1" applyNumberFormat="1"/>
    <xf borderId="0" fillId="0" fontId="12" numFmtId="0" xfId="0" applyFont="1"/>
    <xf borderId="0" fillId="0" fontId="7" numFmtId="3" xfId="0" applyFont="1" applyNumberFormat="1"/>
    <xf borderId="1" fillId="5" fontId="13" numFmtId="0" xfId="0" applyAlignment="1" applyBorder="1" applyFill="1" applyFont="1">
      <alignment readingOrder="0"/>
    </xf>
    <xf borderId="0" fillId="5" fontId="7" numFmtId="0" xfId="0" applyFont="1"/>
    <xf borderId="1" fillId="0" fontId="7" numFmtId="166" xfId="0" applyAlignment="1" applyBorder="1" applyFont="1" applyNumberFormat="1">
      <alignment readingOrder="0"/>
    </xf>
    <xf borderId="1" fillId="0" fontId="7" numFmtId="3" xfId="0" applyAlignment="1" applyBorder="1" applyFont="1" applyNumberForma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2" fillId="0" fontId="14" numFmtId="0" xfId="0" applyBorder="1" applyFont="1"/>
    <xf borderId="2" fillId="0" fontId="14" numFmtId="3" xfId="0" applyBorder="1" applyFont="1" applyNumberFormat="1"/>
    <xf borderId="1" fillId="0" fontId="7" numFmtId="167" xfId="0" applyAlignment="1" applyBorder="1" applyFont="1" applyNumberFormat="1">
      <alignment readingOrder="0"/>
    </xf>
    <xf borderId="1" fillId="6" fontId="7" numFmtId="0" xfId="0" applyAlignment="1" applyBorder="1" applyFill="1" applyFont="1">
      <alignment readingOrder="0"/>
    </xf>
    <xf borderId="1" fillId="0" fontId="7" numFmtId="168" xfId="0" applyAlignment="1" applyBorder="1" applyFont="1" applyNumberFormat="1">
      <alignment readingOrder="0"/>
    </xf>
    <xf borderId="1" fillId="2" fontId="7" numFmtId="0" xfId="0" applyAlignment="1" applyBorder="1" applyFont="1">
      <alignment readingOrder="0"/>
    </xf>
    <xf borderId="1" fillId="0" fontId="7" numFmtId="169" xfId="0" applyAlignment="1" applyBorder="1" applyFont="1" applyNumberFormat="1">
      <alignment readingOrder="0"/>
    </xf>
    <xf borderId="1" fillId="7" fontId="7" numFmtId="0" xfId="0" applyAlignment="1" applyBorder="1" applyFill="1" applyFont="1">
      <alignment readingOrder="0"/>
    </xf>
    <xf borderId="0" fillId="6" fontId="7" numFmtId="0" xfId="0" applyAlignment="1" applyFont="1">
      <alignment readingOrder="0"/>
    </xf>
    <xf borderId="0" fillId="7" fontId="7" numFmtId="170" xfId="0" applyAlignment="1" applyFont="1" applyNumberFormat="1">
      <alignment readingOrder="0"/>
    </xf>
    <xf borderId="3" fillId="5" fontId="7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Alignment="1" applyBorder="1" applyFont="1">
      <alignment readingOrder="0"/>
    </xf>
    <xf borderId="8" fillId="0" fontId="7" numFmtId="0" xfId="0" applyBorder="1" applyFont="1"/>
    <xf borderId="2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10" fillId="5" fontId="7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11" fillId="0" fontId="7" numFmtId="0" xfId="0" applyBorder="1" applyFont="1"/>
    <xf borderId="12" fillId="0" fontId="7" numFmtId="0" xfId="0" applyAlignment="1" applyBorder="1" applyFont="1">
      <alignment readingOrder="0"/>
    </xf>
    <xf borderId="4" fillId="0" fontId="7" numFmtId="0" xfId="0" applyBorder="1" applyFont="1"/>
    <xf borderId="6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2" fillId="0" fontId="7" numFmtId="0" xfId="0" applyBorder="1" applyFont="1"/>
    <xf borderId="4" fillId="0" fontId="7" numFmtId="3" xfId="0" applyAlignment="1" applyBorder="1" applyFont="1" applyNumberFormat="1">
      <alignment readingOrder="0"/>
    </xf>
    <xf borderId="10" fillId="0" fontId="7" numFmtId="0" xfId="0" applyAlignment="1" applyBorder="1" applyFont="1">
      <alignment readingOrder="0"/>
    </xf>
    <xf borderId="7" fillId="0" fontId="7" numFmtId="0" xfId="0" applyBorder="1" applyFont="1"/>
    <xf borderId="9" fillId="0" fontId="7" numFmtId="0" xfId="0" applyBorder="1" applyFont="1"/>
    <xf borderId="0" fillId="7" fontId="7" numFmtId="171" xfId="0" applyAlignment="1" applyFont="1" applyNumberFormat="1">
      <alignment readingOrder="0"/>
    </xf>
    <xf borderId="0" fillId="5" fontId="7" numFmtId="0" xfId="0" applyAlignment="1" applyFont="1">
      <alignment readingOrder="0"/>
    </xf>
    <xf borderId="1" fillId="5" fontId="7" numFmtId="0" xfId="0" applyAlignment="1" applyBorder="1" applyFont="1">
      <alignment readingOrder="0"/>
    </xf>
    <xf borderId="0" fillId="7" fontId="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5" fontId="15" numFmtId="0" xfId="0" applyAlignment="1" applyFont="1">
      <alignment readingOrder="0"/>
    </xf>
    <xf borderId="0" fillId="0" fontId="7" numFmtId="169" xfId="0" applyAlignment="1" applyFont="1" applyNumberFormat="1">
      <alignment readingOrder="0"/>
    </xf>
    <xf borderId="0" fillId="5" fontId="12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7" fontId="7" numFmtId="169" xfId="0" applyAlignment="1" applyFont="1" applyNumberFormat="1">
      <alignment readingOrder="0"/>
    </xf>
    <xf borderId="0" fillId="2" fontId="7" numFmtId="169" xfId="0" applyAlignment="1" applyFont="1" applyNumberFormat="1">
      <alignment readingOrder="0"/>
    </xf>
    <xf borderId="0" fillId="2" fontId="7" numFmtId="171" xfId="0" applyAlignment="1" applyFont="1" applyNumberFormat="1">
      <alignment readingOrder="0"/>
    </xf>
    <xf borderId="0" fillId="5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2" fontId="7" numFmtId="0" xfId="0" applyFont="1"/>
    <xf borderId="0" fillId="2" fontId="6" numFmtId="0" xfId="0" applyAlignment="1" applyFont="1">
      <alignment vertical="bottom"/>
    </xf>
    <xf borderId="0" fillId="5" fontId="6" numFmtId="0" xfId="0" applyAlignment="1" applyFont="1">
      <alignment readingOrder="0" vertical="bottom"/>
    </xf>
    <xf borderId="0" fillId="8" fontId="7" numFmtId="0" xfId="0" applyAlignment="1" applyFill="1" applyFont="1">
      <alignment readingOrder="0"/>
    </xf>
    <xf borderId="0" fillId="5" fontId="16" numFmtId="0" xfId="0" applyAlignment="1" applyFont="1">
      <alignment readingOrder="0"/>
    </xf>
    <xf borderId="0" fillId="9" fontId="7" numFmtId="0" xfId="0" applyAlignment="1" applyFill="1" applyFont="1">
      <alignment readingOrder="0"/>
    </xf>
    <xf borderId="0" fillId="6" fontId="7" numFmtId="0" xfId="0" applyFont="1"/>
    <xf borderId="0" fillId="7" fontId="7" numFmtId="0" xfId="0" applyFont="1"/>
    <xf borderId="0" fillId="8" fontId="7" numFmtId="0" xfId="0" applyFont="1"/>
    <xf borderId="0" fillId="7" fontId="7" numFmtId="168" xfId="0" applyAlignment="1" applyFont="1" applyNumberFormat="1">
      <alignment readingOrder="0"/>
    </xf>
    <xf borderId="0" fillId="10" fontId="7" numFmtId="0" xfId="0" applyAlignment="1" applyFill="1" applyFont="1">
      <alignment readingOrder="0"/>
    </xf>
    <xf borderId="0" fillId="11" fontId="7" numFmtId="0" xfId="0" applyAlignment="1" applyFill="1" applyFont="1">
      <alignment readingOrder="0"/>
    </xf>
    <xf borderId="0" fillId="9" fontId="7" numFmtId="0" xfId="0" applyFont="1"/>
    <xf borderId="0" fillId="10" fontId="7" numFmtId="0" xfId="0" applyFont="1"/>
    <xf borderId="0" fillId="7" fontId="7" numFmtId="172" xfId="0" applyAlignment="1" applyFont="1" applyNumberFormat="1">
      <alignment readingOrder="0"/>
    </xf>
    <xf borderId="0" fillId="0" fontId="7" numFmtId="171" xfId="0" applyAlignment="1" applyFont="1" applyNumberFormat="1">
      <alignment readingOrder="0"/>
    </xf>
    <xf borderId="0" fillId="5" fontId="7" numFmtId="171" xfId="0" applyAlignment="1" applyFont="1" applyNumberFormat="1">
      <alignment readingOrder="0"/>
    </xf>
    <xf borderId="0" fillId="12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2702a77a-0dc8-43d5-8c7d-4749e96157fe}">
    <Anchor>
      <Comment id="{01440919-262a-4450-831b-b125dbf520d6}"/>
    </Anchor>
    <History>
      <Event time="2025-03-03T14:06:42.00" id="{9b40eb55-1dd2-465c-b391-964957c82c3c}">
        <Attribution userId="placeholder@email.com" userName="German Molina" userProvider="google-sheets"/>
        <Anchor>
          <Comment id="{01440919-262a-4450-831b-b125dbf520d6}"/>
        </Anchor>
        <Create/>
      </Event>
      <Event time="2025-03-03T14:06:42.00" id="{afed925a-8206-4315-804d-7f0c094a93d4}">
        <Attribution userId="placeholder@email.com" userName="German Molina" userProvider="google-sheets"/>
        <Anchor>
          <Comment id="{01440919-262a-4450-831b-b125dbf520d6}"/>
        </Anchor>
        <Assign userId="abogada.moriconi@gmail.com" userName="abogada.moriconi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erman Molina" id="{1b66d744-d265-47dc-8188-3fc744cb35d3}" providerId="google-sheets"/>
  <x18tc:person displayName="abogada.moriconi@gmail.com" id="{59522d76-418e-40e9-9188-b75e6d088e07}" userId="abogada.moriconi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1" dT="2025-03-03T14:06:42.00" personId="{1b66d744-d265-47dc-8188-3fc744cb35d3}" id="{01440919-262a-4450-831b-b125dbf520d6}" done="1">
    <x18tc:text xml:space="preserve">@abogada.moriconi@gmail.com Especificar como es el pack
Asignada a abogada.moriconi@gmail.com</x18tc:text>
    <x18tc:mentions>
      <x18tc:mention mentionpersonId="{59522d76-418e-40e9-9188-b75e6d088e07}" mentionId="{f9c16230-39b7-4d0f-a95a-fc2c9789c2dc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se1.mm.bing.net/th/id/OIP.T_wgPNv93guoZVlYExjQhwAAAA?pid=Api&amp;P=0&amp;h=180" TargetMode="External"/><Relationship Id="rId190" Type="http://schemas.openxmlformats.org/officeDocument/2006/relationships/hyperlink" Target="https://originalgreen.com.ar/wp-content/uploads/2018/10/DEPURA-3.jpg" TargetMode="External"/><Relationship Id="rId42" Type="http://schemas.openxmlformats.org/officeDocument/2006/relationships/hyperlink" Target="https://cdn.newgarden.com.ar/media/catalog/product/cache/dda7253a1a2f6711745de410175d10f8/h/a/harina-de-coco-x-1-kg_1.jpg" TargetMode="External"/><Relationship Id="rId41" Type="http://schemas.openxmlformats.org/officeDocument/2006/relationships/hyperlink" Target="https://cdn.newgarden.com.ar/media/catalog/product/cache/dda7253a1a2f6711745de410175d10f8/h/a/harina-de-avena-x-1-kg.jpg" TargetMode="External"/><Relationship Id="rId44" Type="http://schemas.openxmlformats.org/officeDocument/2006/relationships/hyperlink" Target="https://cdn.newgarden.com.ar/media/catalog/product/cache/dda7253a1a2f6711745de410175d10f8/h/a/harina_de_almendra_con_piel_tostada_1.jpg" TargetMode="External"/><Relationship Id="rId194" Type="http://schemas.openxmlformats.org/officeDocument/2006/relationships/vmlDrawing" Target="../drawings/vmlDrawing1.vml"/><Relationship Id="rId43" Type="http://schemas.openxmlformats.org/officeDocument/2006/relationships/hyperlink" Target="https://www.ferwer.es/img/blog/pistaciova-mouka-orechy-miska-lzice.webp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s://encrypted-tbn0.gstatic.com/images?q=tbn:ANd9GcS92NrShEYV2IBs41t7l15AfemBMPh_CI9d7w&amp;s" TargetMode="External"/><Relationship Id="rId192" Type="http://schemas.openxmlformats.org/officeDocument/2006/relationships/hyperlink" Target="https://http2.mlstatic.com/D_NQ_NP_2X_782087-MLA81837175431_012025-F.webp" TargetMode="External"/><Relationship Id="rId45" Type="http://schemas.openxmlformats.org/officeDocument/2006/relationships/hyperlink" Target="https://cdn.newgarden.com.ar/media/catalog/product/cache/dda7253a1a2f6711745de410175d10f8/h/a/harina-de-almendra-x-500-g.jpg" TargetMode="External"/><Relationship Id="rId191" Type="http://schemas.openxmlformats.org/officeDocument/2006/relationships/hyperlink" Target="https://originalgreen.com.ar/wp-content/uploads/2018/06/DIAB-1.jpg" TargetMode="External"/><Relationship Id="rId48" Type="http://schemas.openxmlformats.org/officeDocument/2006/relationships/hyperlink" Target="https://miserdiet.com.ar/wp-content/uploads/2022/09/fecula-de-mandioca.webp" TargetMode="External"/><Relationship Id="rId187" Type="http://schemas.openxmlformats.org/officeDocument/2006/relationships/hyperlink" Target="https://http2.mlstatic.com/D_NQ_NP_2X_805826-MLA88800472652_082025-F.webp" TargetMode="External"/><Relationship Id="rId47" Type="http://schemas.openxmlformats.org/officeDocument/2006/relationships/hyperlink" Target="https://encrypted-tbn0.gstatic.com/images?q=tbn:ANd9GcRz1cncBxMQqZYULO9agfvjTF3iJkAm-0myFg&amp;s" TargetMode="External"/><Relationship Id="rId186" Type="http://schemas.openxmlformats.org/officeDocument/2006/relationships/hyperlink" Target="https://originalgreen.com.ar/wp-content/uploads/2020/10/CLORO60-2.jpg" TargetMode="External"/><Relationship Id="rId185" Type="http://schemas.openxmlformats.org/officeDocument/2006/relationships/hyperlink" Target="https://originalgreen.com.ar/wp-content/uploads/2018/06/CLORO30-1-300x300.jpg" TargetMode="External"/><Relationship Id="rId49" Type="http://schemas.openxmlformats.org/officeDocument/2006/relationships/hyperlink" Target="https://www.mayoristadelegumbres.com.ar/wp-content/uploads/2020/05/harina-de-arroz.jpg" TargetMode="External"/><Relationship Id="rId184" Type="http://schemas.openxmlformats.org/officeDocument/2006/relationships/hyperlink" Target="https://originalgreen.com.ar/wp-content/uploads/2024/08/VITAMINA-K-600x600.webp" TargetMode="External"/><Relationship Id="rId189" Type="http://schemas.openxmlformats.org/officeDocument/2006/relationships/hyperlink" Target="https://originalgreen.com.ar/wp-content/uploads/2018/06/MULTI-2-300x300.jpg" TargetMode="External"/><Relationship Id="rId188" Type="http://schemas.openxmlformats.org/officeDocument/2006/relationships/hyperlink" Target="https://originalgreen.com.ar/wp-content/uploads/2018/06/HEPAT-3-300x300.jpg" TargetMode="External"/><Relationship Id="rId31" Type="http://schemas.openxmlformats.org/officeDocument/2006/relationships/hyperlink" Target="https://http2.mlstatic.com/D_NQ_NP_708601-MLA78585683115_082024-O.webp" TargetMode="External"/><Relationship Id="rId30" Type="http://schemas.openxmlformats.org/officeDocument/2006/relationships/hyperlink" Target="https://encrypted-tbn0.gstatic.com/images?q=tbn:ANd9GcS8dLvMpss83GZFYyFV7I6LpVznhQOKnMXEzQ&amp;s" TargetMode="External"/><Relationship Id="rId33" Type="http://schemas.openxmlformats.org/officeDocument/2006/relationships/hyperlink" Target="https://acdn-us.mitiendanube.com/stores/002/625/145/products/granola-exotica-2023-04-03t151215-6301-3106e1387bb613118416805456176298-1024-1024.jpg" TargetMode="External"/><Relationship Id="rId183" Type="http://schemas.openxmlformats.org/officeDocument/2006/relationships/hyperlink" Target="https://originalgreen.com.ar/wp-content/uploads/2020/05/VITAE-2-600x600.jpg" TargetMode="External"/><Relationship Id="rId32" Type="http://schemas.openxmlformats.org/officeDocument/2006/relationships/hyperlink" Target="https://encrypted-tbn0.gstatic.com/images?q=tbn:ANd9GcTglzHWASxwluXIIkarYSwqpvnGgcZeuCAcLg&amp;s" TargetMode="External"/><Relationship Id="rId182" Type="http://schemas.openxmlformats.org/officeDocument/2006/relationships/hyperlink" Target="https://http2.mlstatic.com/D_NQ_NP_2X_724606-MLU78270338665_082024-F.webp" TargetMode="External"/><Relationship Id="rId35" Type="http://schemas.openxmlformats.org/officeDocument/2006/relationships/hyperlink" Target="https://acdn-us.mitiendanube.com/stores/139/211/products/si1-5f39e3dbf951b2058416613695784776-640-0.jpg" TargetMode="External"/><Relationship Id="rId181" Type="http://schemas.openxmlformats.org/officeDocument/2006/relationships/hyperlink" Target="https://originalgreen.com.ar/wp-content/uploads/2018/06/VITAC-2.jpg" TargetMode="External"/><Relationship Id="rId34" Type="http://schemas.openxmlformats.org/officeDocument/2006/relationships/hyperlink" Target="https://http2.mlstatic.com/D_NQ_NP_894603-MLA43239351703_082020-O.webp" TargetMode="External"/><Relationship Id="rId180" Type="http://schemas.openxmlformats.org/officeDocument/2006/relationships/hyperlink" Target="https://originalgreen.com.ar/wp-content/uploads/2022/12/B12-300x300.jpg" TargetMode="External"/><Relationship Id="rId37" Type="http://schemas.openxmlformats.org/officeDocument/2006/relationships/hyperlink" Target="https://cdn.newgarden.com.ar/media/catalog/product/cache/dda7253a1a2f6711745de410175d10f8/s/e/semillas-de-girasol.jpg" TargetMode="External"/><Relationship Id="rId176" Type="http://schemas.openxmlformats.org/officeDocument/2006/relationships/hyperlink" Target="https://originalgreen.com.ar/wp-content/uploads/2018/06/Magnesio-1-1024x1024.jpg" TargetMode="External"/><Relationship Id="rId36" Type="http://schemas.openxmlformats.org/officeDocument/2006/relationships/hyperlink" Target="https://encrypted-tbn0.gstatic.com/images?q=tbn:ANd9GcQntFNQLSfcCRPYfdDWENnN-nnjkiXEd5X_rg&amp;s" TargetMode="External"/><Relationship Id="rId175" Type="http://schemas.openxmlformats.org/officeDocument/2006/relationships/hyperlink" Target="https://originalgreen.com.ar/wp-content/uploads/2024/11/HongoMelenaLeon.webp" TargetMode="External"/><Relationship Id="rId39" Type="http://schemas.openxmlformats.org/officeDocument/2006/relationships/hyperlink" Target="https://encrypted-tbn0.gstatic.com/images?q=tbn:ANd9GcTPwa8YpJ2Ttnds1LqAjpNrlaMFFdLbLeE9nw&amp;s" TargetMode="External"/><Relationship Id="rId174" Type="http://schemas.openxmlformats.org/officeDocument/2006/relationships/hyperlink" Target="https://http2.mlstatic.com/D_NQ_NP_2X_767569-MLU75435958784_042024-F.webp" TargetMode="External"/><Relationship Id="rId38" Type="http://schemas.openxmlformats.org/officeDocument/2006/relationships/hyperlink" Target="https://encrypted-tbn0.gstatic.com/images?q=tbn:ANd9GcSG1kARLaOIE7pGoafKjoedBbAX8hILHyNDMA&amp;s" TargetMode="External"/><Relationship Id="rId173" Type="http://schemas.openxmlformats.org/officeDocument/2006/relationships/hyperlink" Target="https://originalgreen.com.ar/wp-content/uploads/2024/03/citratoMagn-600x600.webp" TargetMode="External"/><Relationship Id="rId179" Type="http://schemas.openxmlformats.org/officeDocument/2006/relationships/hyperlink" Target="https://http2.mlstatic.com/D_NQ_NP_2X_960415-MLU78537977897_082024-F.webp" TargetMode="External"/><Relationship Id="rId178" Type="http://schemas.openxmlformats.org/officeDocument/2006/relationships/hyperlink" Target="https://http2.mlstatic.com/D_NQ_NP_2X_627324-MLU78494771798_082024-F.webp" TargetMode="External"/><Relationship Id="rId177" Type="http://schemas.openxmlformats.org/officeDocument/2006/relationships/hyperlink" Target="https://http2.mlstatic.com/D_NQ_NP_2X_826180-MLU76799004075_062024-F.webp" TargetMode="External"/><Relationship Id="rId20" Type="http://schemas.openxmlformats.org/officeDocument/2006/relationships/hyperlink" Target="https://d22fxaf9t8d39k.cloudfront.net/1383ba2a1c02bff5e680d91b32794476f4a03c7f91c4bd15de989ce8bb01e8e565493.png" TargetMode="External"/><Relationship Id="rId22" Type="http://schemas.openxmlformats.org/officeDocument/2006/relationships/hyperlink" Target="https://tse3.mm.bing.net/th/id/OIP.ekOVbwPBYW8BCYqov8csBgHaFj?pid=Api&amp;P=0&amp;h=180" TargetMode="External"/><Relationship Id="rId21" Type="http://schemas.openxmlformats.org/officeDocument/2006/relationships/hyperlink" Target="https://d22fxaf9t8d39k.cloudfront.net/66157a64ab633490eb331455e87ec03e4ce8cac0788ecf398aee49548d7548f465493.jpeg" TargetMode="External"/><Relationship Id="rId24" Type="http://schemas.openxmlformats.org/officeDocument/2006/relationships/hyperlink" Target="https://cdn.newgarden.com.ar/media/catalog/product/cache/dda7253a1a2f6711745de410175d10f8/d/a/damascos-turcos-gigantes.jpg" TargetMode="External"/><Relationship Id="rId23" Type="http://schemas.openxmlformats.org/officeDocument/2006/relationships/hyperlink" Target="https://tse2.mm.bing.net/th/id/OIP.WztaZHMqZeBta6F1Qf1uLwHaHa?pid=Api&amp;P=0&amp;h=180" TargetMode="External"/><Relationship Id="rId26" Type="http://schemas.openxmlformats.org/officeDocument/2006/relationships/hyperlink" Target="https://tse3.mm.bing.net/th/id/OIP.zF-rlypNt8a3Ez0oYfijEAHaHa?pid=Api&amp;P=0&amp;h=180" TargetMode="External"/><Relationship Id="rId25" Type="http://schemas.openxmlformats.org/officeDocument/2006/relationships/hyperlink" Target="https://www.oestepizzaparty.com.ar/wp-content/uploads/2024/07/TOMATE-SECO.jpg" TargetMode="External"/><Relationship Id="rId28" Type="http://schemas.openxmlformats.org/officeDocument/2006/relationships/hyperlink" Target="https://http2.mlstatic.com/D_NQ_NP_817799-MLA49745917640_042022-O.webp" TargetMode="External"/><Relationship Id="rId27" Type="http://schemas.openxmlformats.org/officeDocument/2006/relationships/hyperlink" Target="https://frutaslosnogales.com.ar/wp-content/uploads/2017/10/damascos-desecados.jpg" TargetMode="External"/><Relationship Id="rId29" Type="http://schemas.openxmlformats.org/officeDocument/2006/relationships/hyperlink" Target="https://http2.mlstatic.com/D_NQ_NP_971630-MLA43638879754_092020-O.webp" TargetMode="External"/><Relationship Id="rId11" Type="http://schemas.openxmlformats.org/officeDocument/2006/relationships/hyperlink" Target="https://tse2.mm.bing.net/th/id/OIP.EUdZVDmCv6FQwUlFKj3oMgHaE7?pid=Api&amp;P=0&amp;h=180" TargetMode="External"/><Relationship Id="rId10" Type="http://schemas.openxmlformats.org/officeDocument/2006/relationships/hyperlink" Target="https://cdn.newgarden.com.ar/media/catalog/product/cache/dda7253a1a2f6711745de410175d10f8/c/a/castanas-de-para-1-kg.jpg" TargetMode="External"/><Relationship Id="rId13" Type="http://schemas.openxmlformats.org/officeDocument/2006/relationships/hyperlink" Target="https://cdn.newgarden.com.ar/media/catalog/product/cache/dda7253a1a2f6711745de410175d10f8/p/i/pistacho-con-cascara-salado-y-tostado-1kg.jpg" TargetMode="External"/><Relationship Id="rId12" Type="http://schemas.openxmlformats.org/officeDocument/2006/relationships/hyperlink" Target="https://cdn.newgarden.com.ar/media/catalog/product/cache/dda7253a1a2f6711745de410175d10f8/p/a/pasas-de-uva-rubias-premium-x-1kg.jpg" TargetMode="External"/><Relationship Id="rId15" Type="http://schemas.openxmlformats.org/officeDocument/2006/relationships/hyperlink" Target="https://encrypted-tbn0.gstatic.com/images?q=tbn:ANd9GcSKpfMEboVqmOHd2ilCkB_E-_hlK6NGs4wdZg&amp;s" TargetMode="External"/><Relationship Id="rId14" Type="http://schemas.openxmlformats.org/officeDocument/2006/relationships/hyperlink" Target="https://tse3.mm.bing.net/th/id/OIP.w6yQYT_irw2zFRcafVuuFQAAAA?pid=Api&amp;P=0&amp;h=180" TargetMode="External"/><Relationship Id="rId17" Type="http://schemas.openxmlformats.org/officeDocument/2006/relationships/hyperlink" Target="https://acdn-us.mitiendanube.com/stores/001/184/135/products/11-30087acda95d00a49316263074834401-640-0.webp" TargetMode="External"/><Relationship Id="rId16" Type="http://schemas.openxmlformats.org/officeDocument/2006/relationships/hyperlink" Target="https://acdn-us.mitiendanube.com/stores/001/229/173/products/mix-de-frutos-secos-con-pasas-12-kg-d_nq_np_589905-mla25107800259_102016-f1-799a1be3d88edbecbb15945260039537-480-0.jpg" TargetMode="External"/><Relationship Id="rId19" Type="http://schemas.openxmlformats.org/officeDocument/2006/relationships/hyperlink" Target="https://http2.mlstatic.com/D_NQ_NP_600579-MLA53014366217_122022-O.webp" TargetMode="External"/><Relationship Id="rId18" Type="http://schemas.openxmlformats.org/officeDocument/2006/relationships/hyperlink" Target="https://acdn-us.mitiendanube.com/stores/001/040/363/products/s-botanica-protectos-solar-fps-30-125ml-611-6b43b3b9208898d57c16717359401681-640-0.png" TargetMode="External"/><Relationship Id="rId84" Type="http://schemas.openxmlformats.org/officeDocument/2006/relationships/hyperlink" Target="https://http2.mlstatic.com/D_NQ_NP_2X_780003-MLA88118277989_072025-F.webp" TargetMode="External"/><Relationship Id="rId83" Type="http://schemas.openxmlformats.org/officeDocument/2006/relationships/hyperlink" Target="https://encrypted-tbn0.gstatic.com/images?q=tbn:ANd9GcSP8l0GvNsOPizBdbH2eDO_VNKcQN1PUixOEA&amp;s" TargetMode="External"/><Relationship Id="rId86" Type="http://schemas.openxmlformats.org/officeDocument/2006/relationships/hyperlink" Target="https://warneke.com.ar/wp-content/uploads/2023/05/aceitecoco-600x601.png" TargetMode="External"/><Relationship Id="rId85" Type="http://schemas.openxmlformats.org/officeDocument/2006/relationships/hyperlink" Target="https://acdn-us.mitiendanube.com/stores/002/268/228/products/aceite-de-coco-neutro-entrenuts-500cc-vegano-libre-de-gluten-f15c97bb5bb04681f517477570471289-1024-1024.png" TargetMode="External"/><Relationship Id="rId88" Type="http://schemas.openxmlformats.org/officeDocument/2006/relationships/hyperlink" Target="https://http2.mlstatic.com/D_NQ_NP_934251-MLA76635794822_062024-O.webp" TargetMode="External"/><Relationship Id="rId150" Type="http://schemas.openxmlformats.org/officeDocument/2006/relationships/hyperlink" Target="https://yakamush.com.ar/wp-content/uploads/2024/11/Terranova.png" TargetMode="External"/><Relationship Id="rId87" Type="http://schemas.openxmlformats.org/officeDocument/2006/relationships/hyperlink" Target="https://acdn-us.mitiendanube.com/stores/001/326/060/products/aceite-de-coco-virgen-organico-entrenuts-sin-tacc-360g1-665c91f99d43c6b6e916760505815272-1024-1024.jpg" TargetMode="External"/><Relationship Id="rId89" Type="http://schemas.openxmlformats.org/officeDocument/2006/relationships/hyperlink" Target="https://laduvalina.com.ar/wp-content/uploads/2023/03/ACCCC.webp" TargetMode="External"/><Relationship Id="rId80" Type="http://schemas.openxmlformats.org/officeDocument/2006/relationships/hyperlink" Target="https://acdn-us.mitiendanube.com/stores/801/315/products/dsc097931-39090b0594f74fbc3a16580093471790-1024-1024.webp" TargetMode="External"/><Relationship Id="rId82" Type="http://schemas.openxmlformats.org/officeDocument/2006/relationships/hyperlink" Target="https://distribuidorafresh.com.ar/wp-content/uploads/2024/04/pasta-mani-salted-caramel-protein.webp" TargetMode="External"/><Relationship Id="rId81" Type="http://schemas.openxmlformats.org/officeDocument/2006/relationships/hyperlink" Target="https://encrypted-tbn0.gstatic.com/images?q=tbn:ANd9GcRY810Vt2WyDg5IFqNq80e2pXb7ez55V5mcIw&amp;s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arneke.com.ar/wp-content/uploads/2025/01/removal.ai_c659e21f-7119-4f20-a2df-0a772d06d4bc-vaka-mush-3.png" TargetMode="External"/><Relationship Id="rId4" Type="http://schemas.openxmlformats.org/officeDocument/2006/relationships/hyperlink" Target="https://cdn.newgarden.com.ar/media/catalog/product/cache/dda7253a1a2f6711745de410175d10f8/n/u/nuez-pelada-cuartillo-extra-light_1_2_1_1.jpg" TargetMode="External"/><Relationship Id="rId148" Type="http://schemas.openxmlformats.org/officeDocument/2006/relationships/hyperlink" Target="https://warneke.com.ar/wp-content/uploads/2025/01/removal.ai_8829012f-98ea-4724-b641-b50d44997683-vaka-mush-2.png" TargetMode="External"/><Relationship Id="rId9" Type="http://schemas.openxmlformats.org/officeDocument/2006/relationships/hyperlink" Target="https://ketoandco.com.ar/wp-content/uploads/2024/08/castanas-de-caju-tostadas-y-saladas-2.png" TargetMode="External"/><Relationship Id="rId143" Type="http://schemas.openxmlformats.org/officeDocument/2006/relationships/hyperlink" Target="https://dieteticaviamonte.com.ar/wp-content/uploads/2024/10/20241019_105450.jpg" TargetMode="External"/><Relationship Id="rId142" Type="http://schemas.openxmlformats.org/officeDocument/2006/relationships/hyperlink" Target="https://http2.mlstatic.com/D_NQ_NP_2X_714415-MLA76683867590_062024-F.webp" TargetMode="External"/><Relationship Id="rId141" Type="http://schemas.openxmlformats.org/officeDocument/2006/relationships/hyperlink" Target="https://http2.mlstatic.com/D_NQ_NP_2X_900944-MLA76683461228_062024-F.webp" TargetMode="External"/><Relationship Id="rId140" Type="http://schemas.openxmlformats.org/officeDocument/2006/relationships/hyperlink" Target="https://d22fxaf9t8d39k.cloudfront.net/83753a7055b1240f1c6153b515cffda922f5fa534c1d9b00a42dfad0df9f504d192.jpg" TargetMode="External"/><Relationship Id="rId5" Type="http://schemas.openxmlformats.org/officeDocument/2006/relationships/hyperlink" Target="https://encrypted-tbn0.gstatic.com/images?q=tbn:ANd9GcTnYmm3nBskRSQNDC7mbDaylPr-fLeZ5s2BHQ&amp;s" TargetMode="External"/><Relationship Id="rId147" Type="http://schemas.openxmlformats.org/officeDocument/2006/relationships/hyperlink" Target="https://miserdiet.com.ar/wp-content/uploads/2022/10/Granola-energetica.jpeg" TargetMode="External"/><Relationship Id="rId6" Type="http://schemas.openxmlformats.org/officeDocument/2006/relationships/hyperlink" Target="https://cdn.newgarden.com.ar/media/catalog/product/cache/dda7253a1a2f6711745de410175d10f8/1/3/13089-mani-repelado-salado-y-tostado_1.jpg" TargetMode="External"/><Relationship Id="rId146" Type="http://schemas.openxmlformats.org/officeDocument/2006/relationships/hyperlink" Target="https://patriarcaonline.com.ar/wp-content/uploads/2024/03/archi.jpg" TargetMode="External"/><Relationship Id="rId7" Type="http://schemas.openxmlformats.org/officeDocument/2006/relationships/hyperlink" Target="https://cdn.shopify.com/s/files/1/1699/9375/files/la-nuez-pecan-ayuda-a-adelgazar_large.jpg?v=1499651301" TargetMode="External"/><Relationship Id="rId145" Type="http://schemas.openxmlformats.org/officeDocument/2006/relationships/hyperlink" Target="https://http2.mlstatic.com/D_NQ_NP_912729-MLA82637033206_032025-O.webp" TargetMode="External"/><Relationship Id="rId8" Type="http://schemas.openxmlformats.org/officeDocument/2006/relationships/hyperlink" Target="https://dcdn-us.mitiendanube.com/stores/001/569/510/products/_68y17isb6-fe1989881887e9785716430667084431-1024-1024.webp" TargetMode="External"/><Relationship Id="rId144" Type="http://schemas.openxmlformats.org/officeDocument/2006/relationships/hyperlink" Target="https://miserdiet.com.ar/wp-content/uploads/2022/08/premium.jpg" TargetMode="External"/><Relationship Id="rId73" Type="http://schemas.openxmlformats.org/officeDocument/2006/relationships/hyperlink" Target="https://latranquilina.com/wp-content/uploads/2025/07/kiwi-lightDSC_4421-300x300.png" TargetMode="External"/><Relationship Id="rId72" Type="http://schemas.openxmlformats.org/officeDocument/2006/relationships/hyperlink" Target="https://latranquilina.com/wp-content/uploads/2025/07/naranja-lightDSC_4435-300x300.png" TargetMode="External"/><Relationship Id="rId75" Type="http://schemas.openxmlformats.org/officeDocument/2006/relationships/hyperlink" Target="https://latranquilina.com/wp-content/uploads/2025/07/Maracuya-sin-azucar-300x300.png" TargetMode="External"/><Relationship Id="rId74" Type="http://schemas.openxmlformats.org/officeDocument/2006/relationships/hyperlink" Target="https://latranquilina.com/wp-content/uploads/2025/07/mango-lith-DSC_4423-300x300.png" TargetMode="External"/><Relationship Id="rId77" Type="http://schemas.openxmlformats.org/officeDocument/2006/relationships/hyperlink" Target="https://frutosare.com.ar/wp-content/uploads/2017/03/miel-pura-aldeva.jpg" TargetMode="External"/><Relationship Id="rId76" Type="http://schemas.openxmlformats.org/officeDocument/2006/relationships/hyperlink" Target="https://latranquilina.com/wp-content/uploads/2025/07/rosa-mosqueta-lightDSC_4413-300x300.png" TargetMode="External"/><Relationship Id="rId79" Type="http://schemas.openxmlformats.org/officeDocument/2006/relationships/hyperlink" Target="https://encrypted-tbn0.gstatic.com/images?q=tbn:ANd9GcSpI_ERyqOCsluKvGWWjXtp3XNCv-EEQuzVMw&amp;s" TargetMode="External"/><Relationship Id="rId78" Type="http://schemas.openxmlformats.org/officeDocument/2006/relationships/hyperlink" Target="https://encrypted-tbn0.gstatic.com/images?q=tbn:ANd9GcSpI_ERyqOCsluKvGWWjXtp3XNCv-EEQuzVMw&amp;s" TargetMode="External"/><Relationship Id="rId71" Type="http://schemas.openxmlformats.org/officeDocument/2006/relationships/hyperlink" Target="https://latranquilina.com/wp-content/uploads/2025/08/membrillo-300x300.png" TargetMode="External"/><Relationship Id="rId70" Type="http://schemas.openxmlformats.org/officeDocument/2006/relationships/hyperlink" Target="https://latranquilina.com/wp-content/uploads/2025/07/pera-lightDSC_4433-300x300.png" TargetMode="External"/><Relationship Id="rId139" Type="http://schemas.openxmlformats.org/officeDocument/2006/relationships/hyperlink" Target="https://http2.mlstatic.com/D_NQ_NP_678360-MLA46691675045_072021-O.webp" TargetMode="External"/><Relationship Id="rId138" Type="http://schemas.openxmlformats.org/officeDocument/2006/relationships/hyperlink" Target="https://http2.mlstatic.com/D_NQ_NP_2X_634562-MLA91474913374_092025-F.webp" TargetMode="External"/><Relationship Id="rId137" Type="http://schemas.openxmlformats.org/officeDocument/2006/relationships/hyperlink" Target="https://funnyveggie.com.ar/wp-content/uploads/2024/03/963_n.jpg" TargetMode="External"/><Relationship Id="rId132" Type="http://schemas.openxmlformats.org/officeDocument/2006/relationships/hyperlink" Target="https://acdn-us.mitiendanube.com/stores/001/132/452/products/sem-titulo-631-129809f1339872469215894052064641-640-0.webp" TargetMode="External"/><Relationship Id="rId131" Type="http://schemas.openxmlformats.org/officeDocument/2006/relationships/hyperlink" Target="https://encrypted-tbn0.gstatic.com/images?q=tbn:ANd9GcRMc5D-DiQWkeGzdVTd8H_kJ1qtRNAZlGgr9w&amp;s" TargetMode="External"/><Relationship Id="rId130" Type="http://schemas.openxmlformats.org/officeDocument/2006/relationships/hyperlink" Target="https://productosboccone.com.ar/wp-content/uploads/2025/06/galletas-saludables-chocolate-y-coco-1536x1536.jpg" TargetMode="External"/><Relationship Id="rId136" Type="http://schemas.openxmlformats.org/officeDocument/2006/relationships/hyperlink" Target="https://distribuidoracabane.com.ar/img/articulos/BAS09.JPG" TargetMode="External"/><Relationship Id="rId135" Type="http://schemas.openxmlformats.org/officeDocument/2006/relationships/hyperlink" Target="https://acdn.mitiendanube.com/stores/001/129/542/products/bastoni-caprese1-d87071a4272c71c41616485756596947-1024-1024.jpg" TargetMode="External"/><Relationship Id="rId134" Type="http://schemas.openxmlformats.org/officeDocument/2006/relationships/hyperlink" Target="https://funnyveggie.com.ar/wp-content/uploads/2025/07/1753231358737.jpg" TargetMode="External"/><Relationship Id="rId133" Type="http://schemas.openxmlformats.org/officeDocument/2006/relationships/hyperlink" Target="https://tse4.mm.bing.net/th/id/OIP.UmZ-1qa1BlSyQ4d8tuIUawHaJQ?pid=Api&amp;P=0&amp;h=180" TargetMode="External"/><Relationship Id="rId62" Type="http://schemas.openxmlformats.org/officeDocument/2006/relationships/hyperlink" Target="https://latranquilina.com/wp-content/uploads/2025/07/Ciruela-sin-azucar-300x300.png" TargetMode="External"/><Relationship Id="rId61" Type="http://schemas.openxmlformats.org/officeDocument/2006/relationships/hyperlink" Target="https://latranquilina.com/wp-content/uploads/2025/07/Arandano-sin-azucar-300x300.png" TargetMode="External"/><Relationship Id="rId64" Type="http://schemas.openxmlformats.org/officeDocument/2006/relationships/hyperlink" Target="https://latranquilina.com/wp-content/uploads/2025/07/Frambuesa-sin-azucar-300x300.png" TargetMode="External"/><Relationship Id="rId63" Type="http://schemas.openxmlformats.org/officeDocument/2006/relationships/hyperlink" Target="https://latranquilina.com/wp-content/uploads/2025/07/Durazno-sin-azucar-300x300.png" TargetMode="External"/><Relationship Id="rId66" Type="http://schemas.openxmlformats.org/officeDocument/2006/relationships/hyperlink" Target="https://latranquilina.com/wp-content/uploads/2025/07/Frutos-del-bosque-sin-azucar-300x300.png" TargetMode="External"/><Relationship Id="rId172" Type="http://schemas.openxmlformats.org/officeDocument/2006/relationships/hyperlink" Target="https://originalgreen.com.ar/wp-content/uploads/2020/05/CALCIO-2-2-1024x1024.jpg" TargetMode="External"/><Relationship Id="rId65" Type="http://schemas.openxmlformats.org/officeDocument/2006/relationships/hyperlink" Target="https://latranquilina.com/wp-content/uploads/2025/07/Frutilla-sin-azucar-300x300.png" TargetMode="External"/><Relationship Id="rId171" Type="http://schemas.openxmlformats.org/officeDocument/2006/relationships/hyperlink" Target="https://http2.mlstatic.com/D_NQ_NP_871624-MLU76655258865_052024-O.webp" TargetMode="External"/><Relationship Id="rId68" Type="http://schemas.openxmlformats.org/officeDocument/2006/relationships/hyperlink" Target="https://latranquilina.com/wp-content/uploads/2025/07/3-Citricos-sin-azucar-300x300.png" TargetMode="External"/><Relationship Id="rId170" Type="http://schemas.openxmlformats.org/officeDocument/2006/relationships/hyperlink" Target="https://http2.mlstatic.com/D_Q_NP_2X_746022-MLA88996864769_072025-R.webp" TargetMode="External"/><Relationship Id="rId67" Type="http://schemas.openxmlformats.org/officeDocument/2006/relationships/hyperlink" Target="https://latranquilina.com/wp-content/uploads/2025/08/higos-sin-azucar-300x300.png" TargetMode="External"/><Relationship Id="rId60" Type="http://schemas.openxmlformats.org/officeDocument/2006/relationships/hyperlink" Target="https://d22fxaf9t8d39k.cloudfront.net/cca33aafd7869cbe5ba0a2754ceb3c95195abdfd4c3f12773805881517bb6c3732002.webp" TargetMode="External"/><Relationship Id="rId165" Type="http://schemas.openxmlformats.org/officeDocument/2006/relationships/hyperlink" Target="https://encrypted-tbn0.gstatic.com/images?q=tbn:ANd9GcQAYnYgntVp1I3qr3xohtk6K0iayJ4QdKnR1Q&amp;s" TargetMode="External"/><Relationship Id="rId69" Type="http://schemas.openxmlformats.org/officeDocument/2006/relationships/hyperlink" Target="https://latranquilina.com/wp-content/uploads/2025/07/manzana-lightDSC_4420-300x300.png" TargetMode="External"/><Relationship Id="rId164" Type="http://schemas.openxmlformats.org/officeDocument/2006/relationships/hyperlink" Target="https://http2.mlstatic.com/D_NQ_NP_2X_941233-MLA74873969092_032024-F.webp" TargetMode="External"/><Relationship Id="rId163" Type="http://schemas.openxmlformats.org/officeDocument/2006/relationships/hyperlink" Target="https://d22fxaf9t8d39k.cloudfront.net/0de43af32af5317a86d64bb44ad87c997dcab1d9aa5e433be85d16bb7d51b2c311222.jpeg" TargetMode="External"/><Relationship Id="rId162" Type="http://schemas.openxmlformats.org/officeDocument/2006/relationships/hyperlink" Target="https://img.freepik.com/fotos-premium/poder-colageno-polvo-juventud-belleza_188290-3356.jpg" TargetMode="External"/><Relationship Id="rId169" Type="http://schemas.openxmlformats.org/officeDocument/2006/relationships/hyperlink" Target="https://cuartocreciente.com.ar/wp-content/uploads/2025/07/web_cuarto-creciente-56.jpg" TargetMode="External"/><Relationship Id="rId168" Type="http://schemas.openxmlformats.org/officeDocument/2006/relationships/hyperlink" Target="https://tse4.mm.bing.net/th/id/OIP.1t-7Smb7l2WucTGhJNsWeAHaFj?pid=Api&amp;P=0&amp;h=180" TargetMode="External"/><Relationship Id="rId167" Type="http://schemas.openxmlformats.org/officeDocument/2006/relationships/hyperlink" Target="https://http2.mlstatic.com/D_NQ_NP_2X_626802-MLA46127403562_052021-F.webp" TargetMode="External"/><Relationship Id="rId166" Type="http://schemas.openxmlformats.org/officeDocument/2006/relationships/hyperlink" Target="https://cdn.newgarden.com.ar/media/catalog/product/cache/dda7253a1a2f6711745de410175d10f8/t/e/te-verde-molido_2.jpg" TargetMode="External"/><Relationship Id="rId51" Type="http://schemas.openxmlformats.org/officeDocument/2006/relationships/hyperlink" Target="https://acdn-us.mitiendanube.com/stores/001/172/573/products/yerba-mate-kalena1-3211f4e93042469e3d15904280252761-1024-1024.webp" TargetMode="External"/><Relationship Id="rId50" Type="http://schemas.openxmlformats.org/officeDocument/2006/relationships/hyperlink" Target="https://tienda.distribuidoraelcriollo.com/productos/2173.jpg" TargetMode="External"/><Relationship Id="rId53" Type="http://schemas.openxmlformats.org/officeDocument/2006/relationships/hyperlink" Target="https://cdn.newgarden.com.ar/media/catalog/product/cache/dda7253a1a2f6711745de410175d10f8/y/e/yerba-organica-suave-roapipo-x-500-g.jpg" TargetMode="External"/><Relationship Id="rId52" Type="http://schemas.openxmlformats.org/officeDocument/2006/relationships/hyperlink" Target="https://cdn.newgarden.com.ar/media/catalog/product/cache/dda7253a1a2f6711745de410175d10f8/y/e/yerba-mate-despalada-suave-kalena-500-g-sin-tacc.jpg" TargetMode="External"/><Relationship Id="rId55" Type="http://schemas.openxmlformats.org/officeDocument/2006/relationships/hyperlink" Target="https://d3ugyf2ht6aenh.cloudfront.net/stores/001/176/840/products/ym-jesper-tradicional-500gr-001-20da9d30e275ad318216523771807996-640-0.webp" TargetMode="External"/><Relationship Id="rId161" Type="http://schemas.openxmlformats.org/officeDocument/2006/relationships/hyperlink" Target="https://acdn-us.mitiendanube.com/stores/002/872/230/products/spirulina-2-02f513871dc82abe28169844949435381-268c56de67d480b8c316984496049923-480-0.jpeg" TargetMode="External"/><Relationship Id="rId54" Type="http://schemas.openxmlformats.org/officeDocument/2006/relationships/hyperlink" Target="https://cdn.newgarden.com.ar/media/catalog/product/cache/dda7253a1a2f6711745de410175d10f8/y/e/yerba-organica-suave-roapipo-1-kg.jpg" TargetMode="External"/><Relationship Id="rId160" Type="http://schemas.openxmlformats.org/officeDocument/2006/relationships/hyperlink" Target="https://acdn-us.mitiendanube.com/stores/001/918/710/products/tienda-nube-1024-1024px-2023-07-26t090604-7221-69d5354a3fba0383cb16903743823105-480-0.png" TargetMode="External"/><Relationship Id="rId57" Type="http://schemas.openxmlformats.org/officeDocument/2006/relationships/hyperlink" Target="https://d2r9epyceweg5n.cloudfront.net/stores/001/705/896/products/yerba-mate-jesper-compuesta-con-te-verde-500g1-9a6e26f805a98132a616231549794860-640-0.jpg" TargetMode="External"/><Relationship Id="rId56" Type="http://schemas.openxmlformats.org/officeDocument/2006/relationships/hyperlink" Target="https://tse4.mm.bing.net/th?id=OIP.DTRt-dXsSsTT1lBhpLPZ7gHaHa&amp;pid=Api&amp;P=0&amp;h=180" TargetMode="External"/><Relationship Id="rId159" Type="http://schemas.openxmlformats.org/officeDocument/2006/relationships/hyperlink" Target="https://encrypted-tbn0.gstatic.com/images?q=tbn:ANd9GcREwW0STr1a4uVfngVcjZ1XZeYegJMoqPAxNw&amp;s" TargetMode="External"/><Relationship Id="rId59" Type="http://schemas.openxmlformats.org/officeDocument/2006/relationships/hyperlink" Target="https://http2.mlstatic.com/D_NQ_NP_2X_919861-MLA72618726265_112023-F.webp" TargetMode="External"/><Relationship Id="rId154" Type="http://schemas.openxmlformats.org/officeDocument/2006/relationships/hyperlink" Target="https://acdn-us.mitiendanube.com/stores/004/652/367/products/granola-original-renderweb-cff11302e3d24cd7b617292452319764-640-0.png" TargetMode="External"/><Relationship Id="rId58" Type="http://schemas.openxmlformats.org/officeDocument/2006/relationships/hyperlink" Target="https://tse4.mm.bing.net/th?id=OIP.n9-T2Os4RPn8oLluV2nFpAAAAA&amp;pid=Api&amp;P=0&amp;h=180" TargetMode="External"/><Relationship Id="rId153" Type="http://schemas.openxmlformats.org/officeDocument/2006/relationships/hyperlink" Target="https://acdn-us.mitiendanube.com/stores/004/652/367/products/granola-chococrunch-renderweb-4e607b13e29f16453f17290095727316-640-0.png" TargetMode="External"/><Relationship Id="rId152" Type="http://schemas.openxmlformats.org/officeDocument/2006/relationships/hyperlink" Target="https://acdn-us.mitiendanube.com/stores/004/652/367/products/granola-pasta-de-mani-renderweb-5b4e51279cc52917e017292482977072-640-0.png" TargetMode="External"/><Relationship Id="rId151" Type="http://schemas.openxmlformats.org/officeDocument/2006/relationships/hyperlink" Target="https://acdn-us.mitiendanube.com/stores/004/652/367/products/granola-cranberrycoco-renderweb-0021514a49a4c8710917292464209220-640-0.png" TargetMode="External"/><Relationship Id="rId158" Type="http://schemas.openxmlformats.org/officeDocument/2006/relationships/hyperlink" Target="https://acdn-us.mitiendanube.com/stores/002/872/230/products/044-1024-1-30a422444fc4d2ae8017214258920463-640-0.webp" TargetMode="External"/><Relationship Id="rId157" Type="http://schemas.openxmlformats.org/officeDocument/2006/relationships/hyperlink" Target="https://mayorista-semillaviva.com.ar/webfiles/semillaviva/productos/18174764/2_1000x1000.jpg" TargetMode="External"/><Relationship Id="rId156" Type="http://schemas.openxmlformats.org/officeDocument/2006/relationships/hyperlink" Target="https://warneke.com.ar/wp-content/uploads/2025/01/removal.ai_ad88d9d2-a2f5-4805-ab75-23673185330f-vaka-mush-4.png" TargetMode="External"/><Relationship Id="rId155" Type="http://schemas.openxmlformats.org/officeDocument/2006/relationships/hyperlink" Target="https://http2.mlstatic.com/D_NQ_NP_2X_615496-MLA79828191335_102024-F.webp" TargetMode="External"/><Relationship Id="rId107" Type="http://schemas.openxmlformats.org/officeDocument/2006/relationships/hyperlink" Target="https://tse4.mm.bing.net/th/id/OIP.vhVOGqNTG479BLdno9G5hAAAAA?pid=Api&amp;P=0&amp;h=180" TargetMode="External"/><Relationship Id="rId106" Type="http://schemas.openxmlformats.org/officeDocument/2006/relationships/hyperlink" Target="https://tse4.mm.bing.net/th/id/OIP.7OHFtc2RIcQ3IVegVZ4AgAHaHa?pid=Api&amp;P=0&amp;h=180" TargetMode="External"/><Relationship Id="rId105" Type="http://schemas.openxmlformats.org/officeDocument/2006/relationships/hyperlink" Target="https://aloejual.com.ar/294-large_default/edulcorante-natural-stevia-liquida-x-125-cc.jpg" TargetMode="External"/><Relationship Id="rId104" Type="http://schemas.openxmlformats.org/officeDocument/2006/relationships/hyperlink" Target="https://tse3.mm.bing.net/th/id/OIP.gbONeVmkxyse-JRmf3baWgHaHa?pid=Api&amp;P=0&amp;h=180" TargetMode="External"/><Relationship Id="rId109" Type="http://schemas.openxmlformats.org/officeDocument/2006/relationships/hyperlink" Target="https://http2.mlstatic.com/D_NQ_NP_2X_986244-MLU72836482363_112023-F.webp" TargetMode="External"/><Relationship Id="rId108" Type="http://schemas.openxmlformats.org/officeDocument/2006/relationships/hyperlink" Target="https://cdn.newgarden.com.ar/media/catalog/product/cache/dda7253a1a2f6711745de410175d10f8/a/z/azucar-de-mascabo-balaju-x-500-gr.jpg" TargetMode="External"/><Relationship Id="rId103" Type="http://schemas.openxmlformats.org/officeDocument/2006/relationships/hyperlink" Target="https://cloudfront-us-east-1.images.arcpublishing.com/lanacionpy/EF2RKX3FSFGFFM2SXUEYBH4OII.jpg" TargetMode="External"/><Relationship Id="rId102" Type="http://schemas.openxmlformats.org/officeDocument/2006/relationships/hyperlink" Target="https://encrypted-tbn0.gstatic.com/images?q=tbn:ANd9GcRCehLWM16X4ioBAgSe9h-JEHC4DMse-hJUkA&amp;s" TargetMode="External"/><Relationship Id="rId101" Type="http://schemas.openxmlformats.org/officeDocument/2006/relationships/hyperlink" Target="https://acdn-us.mitiendanube.com/stores/004/033/662/products/imagen-de-whatsapp-2024-08-01-a-las-08-08-36_308dd65b-4e6c33c9d98bc5636c17225105334782-1024-1024.webp" TargetMode="External"/><Relationship Id="rId100" Type="http://schemas.openxmlformats.org/officeDocument/2006/relationships/hyperlink" Target="https://acdn-us.mitiendanube.com/stores/004/033/662/products/imagen-de-whatsapp-2024-08-01-a-las-07-36-03_d8839284-5163b50b9fb09dd33317225085844010-1024-1024.webp" TargetMode="External"/><Relationship Id="rId129" Type="http://schemas.openxmlformats.org/officeDocument/2006/relationships/hyperlink" Target="https://productosboccone.com.ar/wp-content/uploads/2025/06/galleta-saludable-de-nuez-1536x1536.jpg" TargetMode="External"/><Relationship Id="rId128" Type="http://schemas.openxmlformats.org/officeDocument/2006/relationships/hyperlink" Target="https://productosboccone.com.ar/wp-content/uploads/2025/06/galletas-saludables-de-chia-y-limon-1536x1536.jpg" TargetMode="External"/><Relationship Id="rId127" Type="http://schemas.openxmlformats.org/officeDocument/2006/relationships/hyperlink" Target="https://productosboccone.com.ar/wp-content/uploads/2025/06/galletas-saludables-de-cacao-y-mani-1536x1536.jpg" TargetMode="External"/><Relationship Id="rId126" Type="http://schemas.openxmlformats.org/officeDocument/2006/relationships/hyperlink" Target="https://productosboccone.com.ar/wp-content/uploads/2025/06/galletas-saludables-de-pasas-de-uva-1536x1536.jpg" TargetMode="External"/><Relationship Id="rId121" Type="http://schemas.openxmlformats.org/officeDocument/2006/relationships/hyperlink" Target="https://http2.mlstatic.com/D_NQ_NP_740629-MLA49647135246_042022-O.webp" TargetMode="External"/><Relationship Id="rId120" Type="http://schemas.openxmlformats.org/officeDocument/2006/relationships/hyperlink" Target="https://aldeaecologica.com.ar/wp-content/uploads/2021/11/galletas-de-miel-naturales-nutresan-x-250g.webp" TargetMode="External"/><Relationship Id="rId125" Type="http://schemas.openxmlformats.org/officeDocument/2006/relationships/hyperlink" Target="https://productosboccone.com.ar/wp-content/uploads/2025/06/galletas-saludables-de-girasol-y-naranja-1536x1536.jpg" TargetMode="External"/><Relationship Id="rId124" Type="http://schemas.openxmlformats.org/officeDocument/2006/relationships/hyperlink" Target="https://encrypted-tbn0.gstatic.com/images?q=tbn:ANd9GcQa9dUbZemVfWZFd-7qPUXZYKF6GE5u_sh_qw&amp;s" TargetMode="External"/><Relationship Id="rId123" Type="http://schemas.openxmlformats.org/officeDocument/2006/relationships/hyperlink" Target="https://aldeaecologica.com.ar/wp-content/uploads/2021/11/nutresan20dulce20trigo.jpg" TargetMode="External"/><Relationship Id="rId122" Type="http://schemas.openxmlformats.org/officeDocument/2006/relationships/hyperlink" Target="https://encrypted-tbn0.gstatic.com/images?q=tbn:ANd9GcTKf1HgBbLzOLa0tOB7AbV9t6uKWOc7Odfvsw&amp;s" TargetMode="External"/><Relationship Id="rId95" Type="http://schemas.openxmlformats.org/officeDocument/2006/relationships/hyperlink" Target="https://cdn.newgarden.com.ar/media/catalog/product/cache/dda7253a1a2f6711745de410175d10f8/a/l/almendra-con-chocolate-con-leche_1.jpg" TargetMode="External"/><Relationship Id="rId94" Type="http://schemas.openxmlformats.org/officeDocument/2006/relationships/hyperlink" Target="https://d22fxaf9t8d39k.cloudfront.net/3ac5d3be0ea9578415b1cade887e338f6d2384b9ccaf5ecf8c8d54cfee8164c180985.jpeg" TargetMode="External"/><Relationship Id="rId97" Type="http://schemas.openxmlformats.org/officeDocument/2006/relationships/hyperlink" Target="https://cdn.newgarden.com.ar/media/catalog/product/cache/dda7253a1a2f6711745de410175d10f8/p/a/pasas-de-uva-con-chocolate_1_1.jpg" TargetMode="External"/><Relationship Id="rId96" Type="http://schemas.openxmlformats.org/officeDocument/2006/relationships/hyperlink" Target="https://cdn.newgarden.com.ar/media/catalog/product/cache/dda7253a1a2f6711745de410175d10f8/m/a/mani-con-chocolate-1kg.jpg" TargetMode="External"/><Relationship Id="rId99" Type="http://schemas.openxmlformats.org/officeDocument/2006/relationships/hyperlink" Target="https://tse1.mm.bing.net/th/id/OIP.eo1rusvZ54XxX90yna76NQHaH0?pid=Api&amp;P=0&amp;h=180" TargetMode="External"/><Relationship Id="rId98" Type="http://schemas.openxmlformats.org/officeDocument/2006/relationships/hyperlink" Target="https://encrypted-tbn0.gstatic.com/images?q=tbn:ANd9GcSz2ZM94uX4DUx4vnTwdHp2COhpobgXxMIeLA&amp;s" TargetMode="External"/><Relationship Id="rId91" Type="http://schemas.openxmlformats.org/officeDocument/2006/relationships/hyperlink" Target="https://d2j6dbq0eux0bg.cloudfront.net/images/24120122/2384747864.jpg" TargetMode="External"/><Relationship Id="rId90" Type="http://schemas.openxmlformats.org/officeDocument/2006/relationships/hyperlink" Target="https://greenco.com.ar/Content/images/articulos/ENTR28_1.jpg" TargetMode="External"/><Relationship Id="rId93" Type="http://schemas.openxmlformats.org/officeDocument/2006/relationships/hyperlink" Target="https://http2.mlstatic.com/D_NQ_NP_756527-MLA49314673527_032022-O.webp" TargetMode="External"/><Relationship Id="rId92" Type="http://schemas.openxmlformats.org/officeDocument/2006/relationships/hyperlink" Target="https://acdn.mitiendanube.com/stores/750/800/products/vinagre-de-manzana-organico-pampa-gourmet-250ml-templeorganico1-097a17c1cbb6addb8516613479371104-640-0.png" TargetMode="External"/><Relationship Id="rId118" Type="http://schemas.openxmlformats.org/officeDocument/2006/relationships/hyperlink" Target="https://tse4.mm.bing.net/th/id/OIP.na3qQziv_R3yAGeWKt_VlQHaCh?pid=Api&amp;P=0&amp;h=180" TargetMode="External"/><Relationship Id="rId117" Type="http://schemas.openxmlformats.org/officeDocument/2006/relationships/hyperlink" Target="https://tse2.mm.bing.net/th/id/OIP.AoY62p7Jq0xl0McSSfaWvwHaDr?pid=Api&amp;P=0&amp;h=180" TargetMode="External"/><Relationship Id="rId116" Type="http://schemas.openxmlformats.org/officeDocument/2006/relationships/hyperlink" Target="https://tse1.mm.bing.net/th/id/OIP.EMXMHzE7x5gmSV4F0sai2AHaDr?pid=Api&amp;P=0&amp;h=180" TargetMode="External"/><Relationship Id="rId115" Type="http://schemas.openxmlformats.org/officeDocument/2006/relationships/hyperlink" Target="https://http2.mlstatic.com/D_NQ_NP_2X_878237-MLA54193486535_032023-F.webp" TargetMode="External"/><Relationship Id="rId119" Type="http://schemas.openxmlformats.org/officeDocument/2006/relationships/hyperlink" Target="https://almacencamposverdes.com.ar/wp-content/uploads/2018/04/1256.jpg" TargetMode="External"/><Relationship Id="rId110" Type="http://schemas.openxmlformats.org/officeDocument/2006/relationships/hyperlink" Target="https://www.mayana.com.ar/wp-content/uploads/2020/05/CAC100.jpg" TargetMode="External"/><Relationship Id="rId114" Type="http://schemas.openxmlformats.org/officeDocument/2006/relationships/hyperlink" Target="https://tse1.mm.bing.net/th/id/OIP.inSrRuP0MP2EPYLJ105C2wHaHa?pid=Api&amp;P=0&amp;h=180" TargetMode="External"/><Relationship Id="rId113" Type="http://schemas.openxmlformats.org/officeDocument/2006/relationships/hyperlink" Target="https://tienda.distribuidoraelcriollo.com/productos/6970.jpg" TargetMode="External"/><Relationship Id="rId112" Type="http://schemas.openxmlformats.org/officeDocument/2006/relationships/hyperlink" Target="https://tse1.mm.bing.net/th/id/OIP.oBlwL2SRFDZk5vit-x8ssQHaHa?pid=Api&amp;P=0&amp;h=180" TargetMode="External"/><Relationship Id="rId111" Type="http://schemas.openxmlformats.org/officeDocument/2006/relationships/hyperlink" Target="https://tse1.mm.bing.net/th/id/OIP.KSs4M9x5GRFtqmkHG_WY1wAAAA?pid=Api&amp;P=0&amp;h=18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ewgarden.com.a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4.75"/>
    <col customWidth="1" min="3" max="3" width="18.88"/>
    <col customWidth="1" hidden="1" min="4" max="4" width="21.38"/>
    <col customWidth="1" min="5" max="5" width="10.0"/>
    <col customWidth="1" min="6" max="6" width="222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>
        <v>1.0</v>
      </c>
      <c r="B2" s="4" t="s">
        <v>5</v>
      </c>
      <c r="C2" s="5" t="s">
        <v>6</v>
      </c>
      <c r="D2" s="4" t="s">
        <v>7</v>
      </c>
      <c r="E2" s="6">
        <v>20500.0</v>
      </c>
      <c r="F2" s="7" t="s">
        <v>8</v>
      </c>
    </row>
    <row r="3">
      <c r="A3" s="3">
        <f t="shared" ref="A3:A4" si="1">A2+1</f>
        <v>2</v>
      </c>
      <c r="B3" s="4" t="s">
        <v>9</v>
      </c>
      <c r="C3" s="5" t="s">
        <v>6</v>
      </c>
      <c r="D3" s="4" t="s">
        <v>7</v>
      </c>
      <c r="E3" s="6">
        <v>23000.0</v>
      </c>
      <c r="F3" s="8" t="s">
        <v>10</v>
      </c>
    </row>
    <row r="4">
      <c r="A4" s="3">
        <f t="shared" si="1"/>
        <v>3</v>
      </c>
      <c r="B4" s="4" t="s">
        <v>11</v>
      </c>
      <c r="C4" s="5" t="s">
        <v>6</v>
      </c>
      <c r="D4" s="4" t="s">
        <v>7</v>
      </c>
      <c r="E4" s="6">
        <v>3000.0</v>
      </c>
      <c r="F4" s="7" t="s">
        <v>12</v>
      </c>
    </row>
    <row r="5">
      <c r="A5" s="9">
        <v>4.0</v>
      </c>
      <c r="B5" s="4" t="s">
        <v>13</v>
      </c>
      <c r="C5" s="5" t="s">
        <v>6</v>
      </c>
      <c r="D5" s="4" t="s">
        <v>7</v>
      </c>
      <c r="E5" s="6">
        <v>34600.0</v>
      </c>
      <c r="F5" s="8" t="s">
        <v>14</v>
      </c>
    </row>
    <row r="6">
      <c r="A6" s="3">
        <f>A5+1</f>
        <v>5</v>
      </c>
      <c r="B6" s="4" t="s">
        <v>15</v>
      </c>
      <c r="C6" s="5" t="s">
        <v>6</v>
      </c>
      <c r="D6" s="4" t="s">
        <v>7</v>
      </c>
      <c r="E6" s="6">
        <v>19500.0</v>
      </c>
      <c r="F6" s="8" t="s">
        <v>16</v>
      </c>
    </row>
    <row r="7">
      <c r="A7" s="9">
        <v>6.0</v>
      </c>
      <c r="B7" s="4" t="s">
        <v>17</v>
      </c>
      <c r="C7" s="4" t="s">
        <v>6</v>
      </c>
      <c r="D7" s="4"/>
      <c r="E7" s="6">
        <v>20000.0</v>
      </c>
      <c r="F7" s="8" t="s">
        <v>18</v>
      </c>
    </row>
    <row r="8">
      <c r="A8" s="9">
        <v>7.0</v>
      </c>
      <c r="B8" s="4" t="s">
        <v>19</v>
      </c>
      <c r="C8" s="5" t="s">
        <v>6</v>
      </c>
      <c r="D8" s="4" t="s">
        <v>7</v>
      </c>
      <c r="E8" s="6">
        <v>40200.0</v>
      </c>
      <c r="F8" s="8" t="s">
        <v>20</v>
      </c>
    </row>
    <row r="9">
      <c r="A9" s="3">
        <f>A8+1</f>
        <v>8</v>
      </c>
      <c r="B9" s="4" t="s">
        <v>21</v>
      </c>
      <c r="C9" s="5" t="s">
        <v>6</v>
      </c>
      <c r="D9" s="4" t="s">
        <v>7</v>
      </c>
      <c r="E9" s="6">
        <v>33200.0</v>
      </c>
      <c r="F9" s="7" t="s">
        <v>22</v>
      </c>
    </row>
    <row r="10">
      <c r="A10" s="9">
        <v>9.0</v>
      </c>
      <c r="B10" s="4" t="s">
        <v>23</v>
      </c>
      <c r="C10" s="4" t="s">
        <v>6</v>
      </c>
      <c r="D10" s="4"/>
      <c r="E10" s="6">
        <v>8200.0</v>
      </c>
      <c r="F10" s="8" t="s">
        <v>24</v>
      </c>
    </row>
    <row r="11">
      <c r="A11" s="3">
        <f>A10+1</f>
        <v>10</v>
      </c>
      <c r="B11" s="4" t="s">
        <v>25</v>
      </c>
      <c r="C11" s="5" t="s">
        <v>6</v>
      </c>
      <c r="D11" s="4" t="s">
        <v>7</v>
      </c>
      <c r="E11" s="6">
        <v>41000.0</v>
      </c>
      <c r="F11" s="8" t="s">
        <v>26</v>
      </c>
    </row>
    <row r="12">
      <c r="A12" s="9">
        <v>11.0</v>
      </c>
      <c r="B12" s="10" t="s">
        <v>27</v>
      </c>
      <c r="C12" s="4" t="s">
        <v>6</v>
      </c>
      <c r="D12" s="5"/>
      <c r="E12" s="6">
        <v>12000.0</v>
      </c>
      <c r="F12" s="11" t="s">
        <v>28</v>
      </c>
    </row>
    <row r="13">
      <c r="A13" s="3">
        <f>A11+1</f>
        <v>11</v>
      </c>
      <c r="B13" s="10" t="s">
        <v>29</v>
      </c>
      <c r="C13" s="5" t="s">
        <v>30</v>
      </c>
      <c r="D13" s="5"/>
      <c r="E13" s="6">
        <v>8200.0</v>
      </c>
      <c r="F13" s="11" t="s">
        <v>31</v>
      </c>
    </row>
    <row r="14">
      <c r="A14" s="9">
        <v>12.0</v>
      </c>
      <c r="B14" s="12" t="s">
        <v>32</v>
      </c>
      <c r="C14" s="4" t="s">
        <v>30</v>
      </c>
      <c r="D14" s="5"/>
      <c r="E14" s="6">
        <v>11700.0</v>
      </c>
      <c r="F14" s="11" t="s">
        <v>33</v>
      </c>
    </row>
    <row r="15">
      <c r="A15" s="9">
        <v>13.0</v>
      </c>
      <c r="B15" s="10" t="s">
        <v>34</v>
      </c>
      <c r="C15" s="5" t="s">
        <v>30</v>
      </c>
      <c r="D15" s="5"/>
      <c r="E15" s="6">
        <v>23000.0</v>
      </c>
      <c r="F15" s="11" t="s">
        <v>35</v>
      </c>
    </row>
    <row r="16">
      <c r="A16" s="9">
        <v>14.0</v>
      </c>
      <c r="B16" s="13" t="s">
        <v>36</v>
      </c>
      <c r="C16" s="5" t="s">
        <v>30</v>
      </c>
      <c r="D16" s="5"/>
      <c r="E16" s="6">
        <v>12000.0</v>
      </c>
      <c r="F16" s="11" t="s">
        <v>37</v>
      </c>
    </row>
    <row r="17">
      <c r="A17" s="9">
        <v>15.0</v>
      </c>
      <c r="B17" s="14" t="s">
        <v>38</v>
      </c>
      <c r="C17" s="5" t="s">
        <v>30</v>
      </c>
      <c r="D17" s="5"/>
      <c r="E17" s="6">
        <v>8400.0</v>
      </c>
      <c r="F17" s="11" t="s">
        <v>39</v>
      </c>
    </row>
    <row r="18">
      <c r="A18" s="3">
        <f>A17+1</f>
        <v>16</v>
      </c>
      <c r="B18" s="15" t="s">
        <v>40</v>
      </c>
      <c r="C18" s="4" t="s">
        <v>30</v>
      </c>
      <c r="D18" s="5"/>
      <c r="E18" s="6">
        <v>6300.0</v>
      </c>
      <c r="F18" s="11" t="s">
        <v>41</v>
      </c>
    </row>
    <row r="19">
      <c r="A19" s="9">
        <v>17.0</v>
      </c>
      <c r="B19" s="4" t="s">
        <v>42</v>
      </c>
      <c r="C19" s="4" t="s">
        <v>43</v>
      </c>
      <c r="D19" s="5"/>
      <c r="E19" s="6">
        <v>17500.0</v>
      </c>
      <c r="F19" s="11" t="s">
        <v>44</v>
      </c>
    </row>
    <row r="20">
      <c r="A20" s="9">
        <v>18.0</v>
      </c>
      <c r="B20" s="4" t="s">
        <v>45</v>
      </c>
      <c r="C20" s="4" t="s">
        <v>43</v>
      </c>
      <c r="D20" s="5"/>
      <c r="E20" s="6">
        <v>11400.0</v>
      </c>
      <c r="F20" s="11" t="s">
        <v>46</v>
      </c>
    </row>
    <row r="21">
      <c r="A21" s="9">
        <v>18.0</v>
      </c>
      <c r="B21" s="4" t="s">
        <v>47</v>
      </c>
      <c r="C21" s="5" t="s">
        <v>48</v>
      </c>
      <c r="D21" s="5"/>
      <c r="E21" s="6">
        <v>12000.0</v>
      </c>
      <c r="F21" s="11" t="s">
        <v>49</v>
      </c>
    </row>
    <row r="22">
      <c r="A22" s="3">
        <f t="shared" ref="A22:A23" si="2">A21+1</f>
        <v>19</v>
      </c>
      <c r="B22" s="4" t="s">
        <v>50</v>
      </c>
      <c r="C22" s="5" t="s">
        <v>48</v>
      </c>
      <c r="D22" s="5"/>
      <c r="E22" s="6">
        <v>42000.0</v>
      </c>
      <c r="F22" s="11" t="s">
        <v>51</v>
      </c>
    </row>
    <row r="23">
      <c r="A23" s="3">
        <f t="shared" si="2"/>
        <v>20</v>
      </c>
      <c r="B23" s="4" t="s">
        <v>52</v>
      </c>
      <c r="C23" s="5" t="s">
        <v>48</v>
      </c>
      <c r="D23" s="5"/>
      <c r="E23" s="6">
        <v>15600.0</v>
      </c>
      <c r="F23" s="11" t="s">
        <v>53</v>
      </c>
    </row>
    <row r="24">
      <c r="A24" s="9">
        <v>21.0</v>
      </c>
      <c r="B24" s="4" t="s">
        <v>54</v>
      </c>
      <c r="C24" s="4" t="s">
        <v>48</v>
      </c>
      <c r="D24" s="5"/>
      <c r="E24" s="6">
        <v>12500.0</v>
      </c>
      <c r="F24" s="11" t="s">
        <v>55</v>
      </c>
    </row>
    <row r="25">
      <c r="A25" s="9">
        <v>22.0</v>
      </c>
      <c r="B25" s="4" t="s">
        <v>56</v>
      </c>
      <c r="C25" s="4" t="s">
        <v>48</v>
      </c>
      <c r="D25" s="5"/>
      <c r="E25" s="6">
        <v>18000.0</v>
      </c>
      <c r="F25" s="11" t="s">
        <v>57</v>
      </c>
    </row>
    <row r="26">
      <c r="A26" s="9">
        <v>23.0</v>
      </c>
      <c r="B26" s="4" t="s">
        <v>58</v>
      </c>
      <c r="C26" s="5" t="s">
        <v>48</v>
      </c>
      <c r="D26" s="5"/>
      <c r="E26" s="6">
        <v>7500.0</v>
      </c>
      <c r="F26" s="11" t="s">
        <v>59</v>
      </c>
    </row>
    <row r="27">
      <c r="A27" s="3">
        <f t="shared" ref="A27:A29" si="3">A26+1</f>
        <v>24</v>
      </c>
      <c r="B27" s="4" t="s">
        <v>60</v>
      </c>
      <c r="C27" s="5" t="s">
        <v>48</v>
      </c>
      <c r="D27" s="5"/>
      <c r="E27" s="6">
        <v>13500.0</v>
      </c>
      <c r="F27" s="11" t="s">
        <v>61</v>
      </c>
    </row>
    <row r="28">
      <c r="A28" s="3">
        <f t="shared" si="3"/>
        <v>25</v>
      </c>
      <c r="B28" s="4" t="s">
        <v>62</v>
      </c>
      <c r="C28" s="5" t="s">
        <v>48</v>
      </c>
      <c r="D28" s="5"/>
      <c r="E28" s="6">
        <v>47000.0</v>
      </c>
      <c r="F28" s="11" t="s">
        <v>63</v>
      </c>
    </row>
    <row r="29">
      <c r="A29" s="3">
        <f t="shared" si="3"/>
        <v>26</v>
      </c>
      <c r="B29" s="4" t="s">
        <v>64</v>
      </c>
      <c r="C29" s="5" t="s">
        <v>48</v>
      </c>
      <c r="D29" s="5"/>
      <c r="E29" s="6">
        <v>8000.0</v>
      </c>
      <c r="F29" s="11" t="s">
        <v>65</v>
      </c>
    </row>
    <row r="30">
      <c r="A30" s="3"/>
      <c r="B30" s="4" t="s">
        <v>66</v>
      </c>
      <c r="C30" s="4" t="s">
        <v>67</v>
      </c>
      <c r="D30" s="5"/>
      <c r="E30" s="6">
        <v>11000.0</v>
      </c>
      <c r="F30" s="16"/>
    </row>
    <row r="31">
      <c r="A31" s="3">
        <f>A29+1</f>
        <v>27</v>
      </c>
      <c r="B31" s="4" t="s">
        <v>68</v>
      </c>
      <c r="C31" s="5" t="s">
        <v>69</v>
      </c>
      <c r="D31" s="5"/>
      <c r="E31" s="6">
        <v>4000.0</v>
      </c>
      <c r="F31" s="11" t="s">
        <v>70</v>
      </c>
    </row>
    <row r="32">
      <c r="A32" s="3">
        <f t="shared" ref="A32:A38" si="4">A31+1</f>
        <v>28</v>
      </c>
      <c r="B32" s="5" t="s">
        <v>71</v>
      </c>
      <c r="C32" s="5" t="s">
        <v>69</v>
      </c>
      <c r="D32" s="5"/>
      <c r="E32" s="6">
        <v>3300.0</v>
      </c>
      <c r="F32" s="11" t="s">
        <v>72</v>
      </c>
    </row>
    <row r="33">
      <c r="A33" s="3">
        <f t="shared" si="4"/>
        <v>29</v>
      </c>
      <c r="B33" s="5" t="s">
        <v>73</v>
      </c>
      <c r="C33" s="5" t="s">
        <v>69</v>
      </c>
      <c r="D33" s="5"/>
      <c r="E33" s="6">
        <v>8700.0</v>
      </c>
      <c r="F33" s="11" t="s">
        <v>74</v>
      </c>
    </row>
    <row r="34">
      <c r="A34" s="3">
        <f t="shared" si="4"/>
        <v>30</v>
      </c>
      <c r="B34" s="5" t="s">
        <v>75</v>
      </c>
      <c r="C34" s="5" t="s">
        <v>69</v>
      </c>
      <c r="D34" s="5"/>
      <c r="E34" s="6">
        <v>5800.0</v>
      </c>
      <c r="F34" s="11" t="s">
        <v>76</v>
      </c>
    </row>
    <row r="35">
      <c r="A35" s="3">
        <f t="shared" si="4"/>
        <v>31</v>
      </c>
      <c r="B35" s="5" t="s">
        <v>77</v>
      </c>
      <c r="C35" s="5" t="s">
        <v>69</v>
      </c>
      <c r="D35" s="5"/>
      <c r="E35" s="6">
        <v>10000.0</v>
      </c>
      <c r="F35" s="11" t="s">
        <v>78</v>
      </c>
    </row>
    <row r="36">
      <c r="A36" s="3">
        <f t="shared" si="4"/>
        <v>32</v>
      </c>
      <c r="B36" s="5" t="s">
        <v>79</v>
      </c>
      <c r="C36" s="5" t="s">
        <v>69</v>
      </c>
      <c r="D36" s="5"/>
      <c r="E36" s="6">
        <v>4100.0</v>
      </c>
      <c r="F36" s="11" t="s">
        <v>80</v>
      </c>
    </row>
    <row r="37">
      <c r="A37" s="3">
        <f t="shared" si="4"/>
        <v>33</v>
      </c>
      <c r="B37" s="5" t="s">
        <v>81</v>
      </c>
      <c r="C37" s="5" t="s">
        <v>69</v>
      </c>
      <c r="D37" s="5"/>
      <c r="E37" s="6">
        <v>12400.0</v>
      </c>
      <c r="F37" s="11" t="s">
        <v>82</v>
      </c>
    </row>
    <row r="38">
      <c r="A38" s="3">
        <f t="shared" si="4"/>
        <v>34</v>
      </c>
      <c r="B38" s="5" t="s">
        <v>83</v>
      </c>
      <c r="C38" s="5" t="s">
        <v>69</v>
      </c>
      <c r="D38" s="5"/>
      <c r="E38" s="6">
        <v>14000.0</v>
      </c>
      <c r="F38" s="11" t="s">
        <v>84</v>
      </c>
    </row>
    <row r="39">
      <c r="A39" s="3"/>
      <c r="B39" s="4" t="s">
        <v>85</v>
      </c>
      <c r="C39" s="4" t="s">
        <v>86</v>
      </c>
      <c r="E39" s="6">
        <v>3500.0</v>
      </c>
      <c r="F39" s="11" t="s">
        <v>87</v>
      </c>
    </row>
    <row r="40">
      <c r="A40" s="3">
        <f>A38+1</f>
        <v>35</v>
      </c>
      <c r="B40" s="4"/>
      <c r="C40" s="5"/>
      <c r="E40" s="6"/>
      <c r="F40" s="11" t="s">
        <v>88</v>
      </c>
    </row>
    <row r="41">
      <c r="A41" s="3">
        <f>A40+1</f>
        <v>36</v>
      </c>
      <c r="B41" s="4" t="s">
        <v>89</v>
      </c>
      <c r="C41" s="5" t="s">
        <v>90</v>
      </c>
      <c r="E41" s="6">
        <v>5800.0</v>
      </c>
      <c r="F41" s="11" t="s">
        <v>91</v>
      </c>
    </row>
    <row r="42">
      <c r="A42" s="9">
        <v>37.0</v>
      </c>
      <c r="B42" s="4" t="s">
        <v>92</v>
      </c>
      <c r="C42" s="4" t="s">
        <v>93</v>
      </c>
      <c r="E42" s="6">
        <v>13000.0</v>
      </c>
      <c r="F42" s="11" t="s">
        <v>94</v>
      </c>
    </row>
    <row r="43">
      <c r="A43" s="3">
        <f>A41+1</f>
        <v>37</v>
      </c>
      <c r="B43" s="4" t="s">
        <v>95</v>
      </c>
      <c r="C43" s="5" t="s">
        <v>90</v>
      </c>
      <c r="E43" s="6">
        <v>4300.0</v>
      </c>
      <c r="F43" s="11" t="s">
        <v>96</v>
      </c>
    </row>
    <row r="44">
      <c r="A44" s="3">
        <f t="shared" ref="A44:A53" si="5">A43+1</f>
        <v>38</v>
      </c>
      <c r="B44" s="4" t="s">
        <v>97</v>
      </c>
      <c r="C44" s="5" t="s">
        <v>90</v>
      </c>
      <c r="E44" s="6">
        <v>4600.0</v>
      </c>
      <c r="F44" s="11" t="s">
        <v>98</v>
      </c>
    </row>
    <row r="45">
      <c r="A45" s="3">
        <f t="shared" si="5"/>
        <v>39</v>
      </c>
      <c r="B45" s="4"/>
      <c r="C45" s="5"/>
      <c r="E45" s="6"/>
      <c r="F45" s="11" t="s">
        <v>99</v>
      </c>
    </row>
    <row r="46">
      <c r="A46" s="3">
        <f t="shared" si="5"/>
        <v>40</v>
      </c>
      <c r="B46" s="4"/>
      <c r="C46" s="5"/>
      <c r="E46" s="6"/>
      <c r="F46" s="11" t="s">
        <v>100</v>
      </c>
    </row>
    <row r="47">
      <c r="A47" s="3">
        <f t="shared" si="5"/>
        <v>41</v>
      </c>
      <c r="B47" s="4" t="s">
        <v>101</v>
      </c>
      <c r="C47" s="5" t="s">
        <v>90</v>
      </c>
      <c r="E47" s="6">
        <v>11000.0</v>
      </c>
      <c r="F47" s="11" t="s">
        <v>102</v>
      </c>
    </row>
    <row r="48">
      <c r="A48" s="3">
        <f t="shared" si="5"/>
        <v>42</v>
      </c>
      <c r="B48" s="4" t="s">
        <v>103</v>
      </c>
      <c r="C48" s="5" t="s">
        <v>90</v>
      </c>
      <c r="E48" s="6">
        <v>7500.0</v>
      </c>
      <c r="F48" s="11" t="s">
        <v>104</v>
      </c>
    </row>
    <row r="49">
      <c r="A49" s="3">
        <f t="shared" si="5"/>
        <v>43</v>
      </c>
      <c r="B49" s="4" t="s">
        <v>105</v>
      </c>
      <c r="C49" s="5" t="s">
        <v>90</v>
      </c>
      <c r="E49" s="6">
        <v>7000.0</v>
      </c>
      <c r="F49" s="11" t="s">
        <v>106</v>
      </c>
    </row>
    <row r="50">
      <c r="A50" s="3">
        <f t="shared" si="5"/>
        <v>44</v>
      </c>
      <c r="B50" s="4" t="s">
        <v>107</v>
      </c>
      <c r="C50" s="5" t="s">
        <v>108</v>
      </c>
      <c r="E50" s="6">
        <v>4200.0</v>
      </c>
      <c r="F50" s="11" t="s">
        <v>109</v>
      </c>
    </row>
    <row r="51">
      <c r="A51" s="3">
        <f t="shared" si="5"/>
        <v>45</v>
      </c>
      <c r="B51" s="4" t="s">
        <v>110</v>
      </c>
      <c r="C51" s="5" t="s">
        <v>108</v>
      </c>
      <c r="E51" s="6">
        <v>5000.0</v>
      </c>
      <c r="F51" s="11" t="s">
        <v>111</v>
      </c>
    </row>
    <row r="52">
      <c r="A52" s="3">
        <f t="shared" si="5"/>
        <v>46</v>
      </c>
      <c r="B52" s="4" t="s">
        <v>112</v>
      </c>
      <c r="C52" s="5" t="s">
        <v>108</v>
      </c>
      <c r="E52" s="6">
        <v>3400.0</v>
      </c>
      <c r="F52" s="11" t="s">
        <v>113</v>
      </c>
    </row>
    <row r="53">
      <c r="A53" s="3">
        <f t="shared" si="5"/>
        <v>47</v>
      </c>
      <c r="B53" s="4" t="s">
        <v>114</v>
      </c>
      <c r="C53" s="5" t="s">
        <v>108</v>
      </c>
      <c r="E53" s="6">
        <v>6500.0</v>
      </c>
      <c r="F53" s="11" t="s">
        <v>115</v>
      </c>
    </row>
    <row r="54">
      <c r="A54" s="9">
        <v>45.0</v>
      </c>
      <c r="B54" s="17" t="s">
        <v>116</v>
      </c>
      <c r="C54" s="5" t="s">
        <v>108</v>
      </c>
      <c r="D54" s="18" t="s">
        <v>117</v>
      </c>
      <c r="E54" s="19"/>
      <c r="F54" s="20" t="s">
        <v>118</v>
      </c>
    </row>
    <row r="55">
      <c r="A55" s="9">
        <v>46.0</v>
      </c>
      <c r="B55" s="14" t="s">
        <v>119</v>
      </c>
      <c r="C55" s="5" t="s">
        <v>108</v>
      </c>
      <c r="E55" s="19">
        <v>4000.0</v>
      </c>
      <c r="F55" s="20" t="s">
        <v>120</v>
      </c>
    </row>
    <row r="56">
      <c r="A56" s="9">
        <v>47.0</v>
      </c>
      <c r="B56" s="14" t="s">
        <v>121</v>
      </c>
      <c r="C56" s="5" t="s">
        <v>108</v>
      </c>
      <c r="E56" s="19"/>
      <c r="F56" s="20" t="s">
        <v>122</v>
      </c>
    </row>
    <row r="57">
      <c r="A57" s="9">
        <v>48.0</v>
      </c>
      <c r="B57" s="13" t="s">
        <v>123</v>
      </c>
      <c r="C57" s="13" t="s">
        <v>108</v>
      </c>
      <c r="E57" s="19">
        <v>3000.0</v>
      </c>
      <c r="F57" s="20" t="s">
        <v>124</v>
      </c>
    </row>
    <row r="58">
      <c r="A58" s="9"/>
      <c r="B58" s="13" t="s">
        <v>125</v>
      </c>
      <c r="C58" s="13" t="s">
        <v>126</v>
      </c>
      <c r="E58" s="19">
        <v>6500.0</v>
      </c>
      <c r="F58" s="13"/>
    </row>
    <row r="59">
      <c r="A59" s="9">
        <v>49.0</v>
      </c>
      <c r="B59" s="13" t="s">
        <v>127</v>
      </c>
      <c r="C59" s="13" t="s">
        <v>128</v>
      </c>
      <c r="E59" s="19">
        <v>3100.0</v>
      </c>
      <c r="F59" s="20" t="s">
        <v>129</v>
      </c>
    </row>
    <row r="60">
      <c r="A60" s="3">
        <f>A59+1</f>
        <v>50</v>
      </c>
      <c r="B60" s="13" t="s">
        <v>130</v>
      </c>
      <c r="C60" s="13" t="s">
        <v>128</v>
      </c>
      <c r="E60" s="19">
        <v>3500.0</v>
      </c>
      <c r="F60" s="20" t="s">
        <v>131</v>
      </c>
    </row>
    <row r="61">
      <c r="A61" s="9"/>
      <c r="B61" s="21" t="s">
        <v>132</v>
      </c>
      <c r="C61" s="13" t="s">
        <v>128</v>
      </c>
      <c r="E61" s="19">
        <v>5500.0</v>
      </c>
      <c r="F61" s="20" t="s">
        <v>133</v>
      </c>
    </row>
    <row r="62">
      <c r="A62" s="9"/>
      <c r="B62" s="21" t="s">
        <v>134</v>
      </c>
      <c r="C62" s="13" t="s">
        <v>128</v>
      </c>
      <c r="E62" s="19">
        <v>4500.0</v>
      </c>
      <c r="F62" s="20" t="s">
        <v>135</v>
      </c>
    </row>
    <row r="63">
      <c r="A63" s="9"/>
      <c r="B63" s="21" t="s">
        <v>136</v>
      </c>
      <c r="C63" s="13" t="s">
        <v>128</v>
      </c>
      <c r="E63" s="19">
        <v>5500.0</v>
      </c>
      <c r="F63" s="20" t="s">
        <v>137</v>
      </c>
    </row>
    <row r="64">
      <c r="A64" s="9"/>
      <c r="B64" s="21" t="s">
        <v>138</v>
      </c>
      <c r="C64" s="13" t="s">
        <v>128</v>
      </c>
      <c r="E64" s="19">
        <v>6000.0</v>
      </c>
      <c r="F64" s="20" t="s">
        <v>139</v>
      </c>
    </row>
    <row r="65">
      <c r="A65" s="9"/>
      <c r="B65" s="21" t="s">
        <v>140</v>
      </c>
      <c r="C65" s="13" t="s">
        <v>128</v>
      </c>
      <c r="E65" s="19">
        <v>5500.0</v>
      </c>
      <c r="F65" s="20" t="s">
        <v>141</v>
      </c>
    </row>
    <row r="66">
      <c r="A66" s="9"/>
      <c r="B66" s="21" t="s">
        <v>142</v>
      </c>
      <c r="C66" s="13" t="s">
        <v>128</v>
      </c>
      <c r="E66" s="19">
        <v>5500.0</v>
      </c>
      <c r="F66" s="20" t="s">
        <v>143</v>
      </c>
    </row>
    <row r="67">
      <c r="A67" s="9"/>
      <c r="B67" s="21" t="s">
        <v>144</v>
      </c>
      <c r="C67" s="13" t="s">
        <v>128</v>
      </c>
      <c r="E67" s="19">
        <v>4500.0</v>
      </c>
      <c r="F67" s="20" t="s">
        <v>145</v>
      </c>
    </row>
    <row r="68">
      <c r="A68" s="9"/>
      <c r="B68" s="21" t="s">
        <v>146</v>
      </c>
      <c r="C68" s="13" t="s">
        <v>128</v>
      </c>
      <c r="E68" s="19">
        <v>4500.0</v>
      </c>
      <c r="F68" s="20" t="s">
        <v>147</v>
      </c>
    </row>
    <row r="69">
      <c r="A69" s="9"/>
      <c r="B69" s="21" t="s">
        <v>148</v>
      </c>
      <c r="C69" s="13" t="s">
        <v>128</v>
      </c>
      <c r="E69" s="19">
        <v>4500.0</v>
      </c>
      <c r="F69" s="20" t="s">
        <v>149</v>
      </c>
    </row>
    <row r="70">
      <c r="A70" s="9"/>
      <c r="B70" s="21" t="s">
        <v>150</v>
      </c>
      <c r="C70" s="13" t="s">
        <v>151</v>
      </c>
      <c r="E70" s="19">
        <v>4500.0</v>
      </c>
      <c r="F70" s="20" t="s">
        <v>152</v>
      </c>
    </row>
    <row r="71">
      <c r="A71" s="9"/>
      <c r="B71" s="21" t="s">
        <v>153</v>
      </c>
      <c r="C71" s="13" t="s">
        <v>151</v>
      </c>
      <c r="E71" s="19">
        <v>5500.0</v>
      </c>
      <c r="F71" s="20" t="s">
        <v>154</v>
      </c>
    </row>
    <row r="72">
      <c r="A72" s="9"/>
      <c r="B72" s="21" t="s">
        <v>155</v>
      </c>
      <c r="C72" s="13" t="s">
        <v>151</v>
      </c>
      <c r="E72" s="19">
        <v>4500.0</v>
      </c>
      <c r="F72" s="20" t="s">
        <v>156</v>
      </c>
    </row>
    <row r="73">
      <c r="A73" s="9"/>
      <c r="B73" s="21" t="s">
        <v>157</v>
      </c>
      <c r="C73" s="13" t="s">
        <v>151</v>
      </c>
      <c r="E73" s="19">
        <v>5500.0</v>
      </c>
      <c r="F73" s="20" t="s">
        <v>158</v>
      </c>
    </row>
    <row r="74">
      <c r="A74" s="9"/>
      <c r="B74" s="21" t="s">
        <v>159</v>
      </c>
      <c r="C74" s="13" t="s">
        <v>151</v>
      </c>
      <c r="E74" s="19">
        <v>5500.0</v>
      </c>
      <c r="F74" s="20" t="s">
        <v>160</v>
      </c>
    </row>
    <row r="75">
      <c r="A75" s="9"/>
      <c r="B75" s="21" t="s">
        <v>161</v>
      </c>
      <c r="C75" s="13" t="s">
        <v>151</v>
      </c>
      <c r="E75" s="19">
        <v>6000.0</v>
      </c>
      <c r="F75" s="20" t="s">
        <v>162</v>
      </c>
    </row>
    <row r="76">
      <c r="A76" s="9"/>
      <c r="B76" s="21" t="s">
        <v>163</v>
      </c>
      <c r="C76" s="13" t="s">
        <v>151</v>
      </c>
      <c r="E76" s="19">
        <v>5500.0</v>
      </c>
      <c r="F76" s="20" t="s">
        <v>164</v>
      </c>
    </row>
    <row r="77">
      <c r="A77" s="9">
        <v>51.0</v>
      </c>
      <c r="B77" s="13" t="s">
        <v>165</v>
      </c>
      <c r="C77" s="13" t="s">
        <v>166</v>
      </c>
      <c r="E77" s="19">
        <v>3500.0</v>
      </c>
      <c r="F77" s="20" t="s">
        <v>167</v>
      </c>
    </row>
    <row r="78">
      <c r="A78" s="9">
        <v>52.0</v>
      </c>
      <c r="B78" s="13" t="s">
        <v>168</v>
      </c>
      <c r="C78" s="13" t="s">
        <v>166</v>
      </c>
      <c r="E78" s="19">
        <v>5000.0</v>
      </c>
      <c r="F78" s="20" t="s">
        <v>169</v>
      </c>
    </row>
    <row r="79">
      <c r="A79" s="3">
        <f>A78+1</f>
        <v>53</v>
      </c>
      <c r="B79" s="13" t="s">
        <v>170</v>
      </c>
      <c r="C79" s="13" t="s">
        <v>166</v>
      </c>
      <c r="E79" s="19">
        <v>3500.0</v>
      </c>
      <c r="F79" s="20" t="s">
        <v>169</v>
      </c>
    </row>
    <row r="80">
      <c r="A80" s="9">
        <v>54.0</v>
      </c>
      <c r="B80" s="13" t="s">
        <v>171</v>
      </c>
      <c r="C80" s="13" t="s">
        <v>166</v>
      </c>
      <c r="E80" s="19">
        <v>5000.0</v>
      </c>
      <c r="F80" s="11" t="s">
        <v>172</v>
      </c>
    </row>
    <row r="81">
      <c r="A81" s="9">
        <v>55.0</v>
      </c>
      <c r="B81" s="13" t="s">
        <v>173</v>
      </c>
      <c r="C81" s="13" t="s">
        <v>174</v>
      </c>
      <c r="E81" s="19">
        <v>2600.0</v>
      </c>
      <c r="F81" s="20" t="s">
        <v>175</v>
      </c>
    </row>
    <row r="82">
      <c r="A82" s="3"/>
      <c r="B82" s="22" t="s">
        <v>176</v>
      </c>
      <c r="C82" s="13" t="s">
        <v>174</v>
      </c>
      <c r="E82" s="19">
        <v>3600.0</v>
      </c>
      <c r="F82" s="20" t="s">
        <v>177</v>
      </c>
    </row>
    <row r="83">
      <c r="A83" s="3">
        <f>A81+1</f>
        <v>56</v>
      </c>
      <c r="B83" s="22" t="s">
        <v>178</v>
      </c>
      <c r="C83" s="13" t="s">
        <v>179</v>
      </c>
      <c r="E83" s="19">
        <v>11000.0</v>
      </c>
      <c r="F83" s="20" t="s">
        <v>180</v>
      </c>
    </row>
    <row r="84">
      <c r="A84" s="9"/>
      <c r="B84" s="22" t="s">
        <v>181</v>
      </c>
      <c r="C84" s="13" t="s">
        <v>179</v>
      </c>
      <c r="E84" s="19">
        <v>12000.0</v>
      </c>
      <c r="F84" s="13"/>
    </row>
    <row r="85">
      <c r="A85" s="9">
        <v>57.0</v>
      </c>
      <c r="B85" s="13" t="s">
        <v>182</v>
      </c>
      <c r="C85" s="13" t="s">
        <v>179</v>
      </c>
      <c r="E85" s="19">
        <v>16000.0</v>
      </c>
      <c r="F85" s="20" t="s">
        <v>183</v>
      </c>
    </row>
    <row r="86">
      <c r="A86" s="9">
        <v>58.0</v>
      </c>
      <c r="B86" s="13" t="s">
        <v>184</v>
      </c>
      <c r="C86" s="13" t="s">
        <v>179</v>
      </c>
      <c r="E86" s="19">
        <v>8300.0</v>
      </c>
      <c r="F86" s="20" t="s">
        <v>185</v>
      </c>
    </row>
    <row r="87">
      <c r="A87" s="9">
        <v>59.0</v>
      </c>
      <c r="B87" s="13" t="s">
        <v>186</v>
      </c>
      <c r="C87" s="13" t="s">
        <v>179</v>
      </c>
      <c r="E87" s="19">
        <v>5800.0</v>
      </c>
      <c r="F87" s="20" t="s">
        <v>187</v>
      </c>
    </row>
    <row r="88">
      <c r="A88" s="3">
        <f t="shared" ref="A88:A90" si="6">A87+1</f>
        <v>60</v>
      </c>
      <c r="B88" s="13" t="s">
        <v>188</v>
      </c>
      <c r="C88" s="13" t="s">
        <v>179</v>
      </c>
      <c r="E88" s="19">
        <v>10000.0</v>
      </c>
      <c r="F88" s="20" t="s">
        <v>189</v>
      </c>
    </row>
    <row r="89">
      <c r="A89" s="3">
        <f t="shared" si="6"/>
        <v>61</v>
      </c>
      <c r="B89" s="13" t="s">
        <v>190</v>
      </c>
      <c r="C89" s="13" t="s">
        <v>179</v>
      </c>
      <c r="E89" s="19">
        <v>4000.0</v>
      </c>
      <c r="F89" s="20" t="s">
        <v>191</v>
      </c>
    </row>
    <row r="90">
      <c r="A90" s="3">
        <f t="shared" si="6"/>
        <v>62</v>
      </c>
      <c r="B90" s="13" t="s">
        <v>192</v>
      </c>
      <c r="C90" s="13" t="s">
        <v>179</v>
      </c>
      <c r="E90" s="19">
        <v>6200.0</v>
      </c>
      <c r="F90" s="20" t="s">
        <v>193</v>
      </c>
    </row>
    <row r="91">
      <c r="A91" s="9">
        <v>63.0</v>
      </c>
      <c r="B91" s="13" t="s">
        <v>194</v>
      </c>
      <c r="C91" s="13" t="s">
        <v>179</v>
      </c>
      <c r="E91" s="19">
        <v>12000.0</v>
      </c>
      <c r="F91" s="20" t="s">
        <v>195</v>
      </c>
    </row>
    <row r="92">
      <c r="A92" s="9">
        <v>62.0</v>
      </c>
      <c r="B92" s="13" t="s">
        <v>196</v>
      </c>
      <c r="C92" s="13" t="s">
        <v>179</v>
      </c>
      <c r="E92" s="19">
        <v>21000.0</v>
      </c>
      <c r="F92" s="20" t="s">
        <v>197</v>
      </c>
    </row>
    <row r="93">
      <c r="A93" s="9"/>
      <c r="B93" s="13" t="s">
        <v>198</v>
      </c>
      <c r="C93" s="13" t="s">
        <v>199</v>
      </c>
      <c r="E93" s="19">
        <v>6300.0</v>
      </c>
      <c r="F93" s="20" t="s">
        <v>200</v>
      </c>
    </row>
    <row r="94">
      <c r="A94" s="9">
        <v>63.0</v>
      </c>
      <c r="B94" s="13" t="s">
        <v>201</v>
      </c>
      <c r="C94" s="13" t="s">
        <v>202</v>
      </c>
      <c r="E94" s="19">
        <v>10000.0</v>
      </c>
      <c r="F94" s="20" t="s">
        <v>203</v>
      </c>
    </row>
    <row r="95">
      <c r="A95" s="3">
        <f t="shared" ref="A95:A99" si="7">A94+1</f>
        <v>64</v>
      </c>
      <c r="B95" s="13" t="s">
        <v>204</v>
      </c>
      <c r="C95" s="13" t="s">
        <v>179</v>
      </c>
      <c r="E95" s="19">
        <v>5500.0</v>
      </c>
      <c r="F95" s="20" t="s">
        <v>205</v>
      </c>
    </row>
    <row r="96">
      <c r="A96" s="3">
        <f t="shared" si="7"/>
        <v>65</v>
      </c>
      <c r="B96" s="13" t="s">
        <v>206</v>
      </c>
      <c r="C96" s="13" t="s">
        <v>207</v>
      </c>
      <c r="E96" s="19">
        <v>32500.0</v>
      </c>
      <c r="F96" s="20" t="s">
        <v>208</v>
      </c>
    </row>
    <row r="97">
      <c r="A97" s="3">
        <f t="shared" si="7"/>
        <v>66</v>
      </c>
      <c r="B97" s="13" t="s">
        <v>209</v>
      </c>
      <c r="C97" s="13" t="s">
        <v>207</v>
      </c>
      <c r="E97" s="19">
        <v>18000.0</v>
      </c>
      <c r="F97" s="20" t="s">
        <v>210</v>
      </c>
    </row>
    <row r="98">
      <c r="A98" s="3">
        <f t="shared" si="7"/>
        <v>67</v>
      </c>
      <c r="B98" s="13" t="s">
        <v>211</v>
      </c>
      <c r="C98" s="13" t="s">
        <v>207</v>
      </c>
      <c r="E98" s="19">
        <v>20000.0</v>
      </c>
      <c r="F98" s="20" t="s">
        <v>212</v>
      </c>
    </row>
    <row r="99">
      <c r="A99" s="3">
        <f t="shared" si="7"/>
        <v>68</v>
      </c>
      <c r="B99" s="13" t="s">
        <v>213</v>
      </c>
      <c r="C99" s="13" t="s">
        <v>207</v>
      </c>
      <c r="E99" s="19">
        <v>19300.0</v>
      </c>
      <c r="F99" s="20" t="s">
        <v>214</v>
      </c>
    </row>
    <row r="100">
      <c r="A100" s="3"/>
      <c r="B100" s="13" t="s">
        <v>215</v>
      </c>
      <c r="C100" s="13" t="s">
        <v>207</v>
      </c>
      <c r="E100" s="19">
        <v>6500.0</v>
      </c>
      <c r="F100" s="11" t="s">
        <v>216</v>
      </c>
    </row>
    <row r="101">
      <c r="A101" s="3"/>
      <c r="B101" s="13" t="s">
        <v>217</v>
      </c>
      <c r="C101" s="13" t="s">
        <v>207</v>
      </c>
      <c r="E101" s="19">
        <v>11000.0</v>
      </c>
      <c r="F101" s="16"/>
    </row>
    <row r="102">
      <c r="A102" s="3">
        <f>A99+1</f>
        <v>69</v>
      </c>
      <c r="B102" s="13" t="s">
        <v>218</v>
      </c>
      <c r="C102" s="13" t="s">
        <v>207</v>
      </c>
      <c r="E102" s="19">
        <v>11000.0</v>
      </c>
      <c r="F102" s="11" t="s">
        <v>219</v>
      </c>
    </row>
    <row r="103">
      <c r="A103" s="9">
        <v>70.0</v>
      </c>
      <c r="B103" s="13" t="s">
        <v>220</v>
      </c>
      <c r="C103" s="13" t="s">
        <v>207</v>
      </c>
      <c r="E103" s="19">
        <v>11000.0</v>
      </c>
      <c r="F103" s="20" t="s">
        <v>221</v>
      </c>
    </row>
    <row r="104">
      <c r="A104" s="9">
        <v>71.0</v>
      </c>
      <c r="B104" s="13" t="s">
        <v>222</v>
      </c>
      <c r="C104" s="13" t="s">
        <v>207</v>
      </c>
      <c r="E104" s="19">
        <v>18000.0</v>
      </c>
      <c r="F104" s="20" t="s">
        <v>223</v>
      </c>
    </row>
    <row r="105">
      <c r="A105" s="3">
        <f>A104+1</f>
        <v>72</v>
      </c>
      <c r="B105" s="13" t="s">
        <v>224</v>
      </c>
      <c r="C105" s="13" t="s">
        <v>207</v>
      </c>
      <c r="E105" s="19">
        <v>9300.0</v>
      </c>
      <c r="F105" s="20" t="s">
        <v>225</v>
      </c>
    </row>
    <row r="106">
      <c r="A106" s="9">
        <v>73.0</v>
      </c>
      <c r="B106" s="23" t="s">
        <v>226</v>
      </c>
      <c r="C106" s="13" t="s">
        <v>207</v>
      </c>
      <c r="E106" s="19">
        <v>20400.0</v>
      </c>
      <c r="F106" s="20" t="s">
        <v>227</v>
      </c>
    </row>
    <row r="107">
      <c r="A107" s="9">
        <v>74.0</v>
      </c>
      <c r="B107" s="23" t="s">
        <v>228</v>
      </c>
      <c r="C107" s="13" t="s">
        <v>229</v>
      </c>
      <c r="E107" s="19">
        <v>3500.0</v>
      </c>
      <c r="F107" s="20" t="s">
        <v>230</v>
      </c>
    </row>
    <row r="108">
      <c r="A108" s="9"/>
      <c r="B108" s="23" t="s">
        <v>231</v>
      </c>
      <c r="C108" s="13" t="s">
        <v>229</v>
      </c>
      <c r="E108" s="19">
        <v>5000.0</v>
      </c>
      <c r="F108" s="20" t="s">
        <v>232</v>
      </c>
    </row>
    <row r="109">
      <c r="A109" s="9"/>
      <c r="B109" s="23" t="s">
        <v>233</v>
      </c>
      <c r="C109" s="13" t="s">
        <v>229</v>
      </c>
      <c r="E109" s="19">
        <v>10000.0</v>
      </c>
      <c r="F109" s="20" t="s">
        <v>234</v>
      </c>
    </row>
    <row r="110">
      <c r="A110" s="9">
        <v>75.0</v>
      </c>
      <c r="B110" s="23" t="s">
        <v>235</v>
      </c>
      <c r="C110" s="13" t="s">
        <v>236</v>
      </c>
      <c r="E110" s="19">
        <v>2300.0</v>
      </c>
      <c r="F110" s="20" t="s">
        <v>237</v>
      </c>
    </row>
    <row r="111">
      <c r="A111" s="9">
        <v>76.0</v>
      </c>
      <c r="B111" s="23" t="s">
        <v>238</v>
      </c>
      <c r="C111" s="13" t="s">
        <v>236</v>
      </c>
      <c r="E111" s="19">
        <v>19500.0</v>
      </c>
      <c r="F111" s="20" t="s">
        <v>239</v>
      </c>
    </row>
    <row r="112">
      <c r="A112" s="9">
        <v>77.0</v>
      </c>
      <c r="B112" s="23" t="s">
        <v>240</v>
      </c>
      <c r="C112" s="13"/>
      <c r="E112" s="19">
        <v>14000.0</v>
      </c>
      <c r="F112" s="20" t="s">
        <v>241</v>
      </c>
    </row>
    <row r="113">
      <c r="A113" s="9"/>
      <c r="B113" s="23" t="s">
        <v>242</v>
      </c>
      <c r="C113" s="13"/>
      <c r="E113" s="19">
        <v>20000.0</v>
      </c>
      <c r="F113" s="20" t="s">
        <v>243</v>
      </c>
    </row>
    <row r="114">
      <c r="A114" s="9">
        <v>79.0</v>
      </c>
      <c r="B114" s="23" t="s">
        <v>244</v>
      </c>
      <c r="C114" s="13" t="s">
        <v>207</v>
      </c>
      <c r="E114" s="19">
        <v>2700.0</v>
      </c>
      <c r="F114" s="20" t="s">
        <v>245</v>
      </c>
    </row>
    <row r="115">
      <c r="A115" s="9">
        <v>80.0</v>
      </c>
      <c r="B115" s="24" t="s">
        <v>246</v>
      </c>
      <c r="C115" s="13"/>
      <c r="E115" s="19">
        <v>24000.0</v>
      </c>
      <c r="F115" s="20" t="s">
        <v>247</v>
      </c>
    </row>
    <row r="116">
      <c r="A116" s="9"/>
      <c r="B116" s="13" t="s">
        <v>248</v>
      </c>
      <c r="C116" s="13" t="s">
        <v>249</v>
      </c>
      <c r="E116" s="19">
        <v>9000.0</v>
      </c>
      <c r="F116" s="20" t="s">
        <v>250</v>
      </c>
    </row>
    <row r="117">
      <c r="A117" s="9">
        <v>81.0</v>
      </c>
      <c r="B117" s="13" t="s">
        <v>251</v>
      </c>
      <c r="C117" s="13" t="s">
        <v>207</v>
      </c>
      <c r="E117" s="19">
        <v>7200.0</v>
      </c>
      <c r="F117" s="20" t="s">
        <v>252</v>
      </c>
    </row>
    <row r="118">
      <c r="A118" s="9">
        <v>82.0</v>
      </c>
      <c r="B118" s="13" t="s">
        <v>253</v>
      </c>
      <c r="C118" s="13" t="s">
        <v>254</v>
      </c>
      <c r="E118" s="19">
        <v>2000.0</v>
      </c>
      <c r="F118" s="20" t="s">
        <v>255</v>
      </c>
    </row>
    <row r="119">
      <c r="A119" s="9">
        <v>83.0</v>
      </c>
      <c r="B119" s="13" t="s">
        <v>256</v>
      </c>
      <c r="C119" s="13" t="s">
        <v>254</v>
      </c>
      <c r="E119" s="19">
        <v>2000.0</v>
      </c>
      <c r="F119" s="20" t="s">
        <v>257</v>
      </c>
    </row>
    <row r="120">
      <c r="A120" s="9">
        <v>84.0</v>
      </c>
      <c r="B120" s="13" t="s">
        <v>258</v>
      </c>
      <c r="C120" s="13" t="s">
        <v>254</v>
      </c>
      <c r="E120" s="19">
        <v>3000.0</v>
      </c>
      <c r="F120" s="20" t="s">
        <v>259</v>
      </c>
    </row>
    <row r="121">
      <c r="A121" s="9">
        <v>85.0</v>
      </c>
      <c r="B121" s="13" t="s">
        <v>260</v>
      </c>
      <c r="C121" s="13" t="s">
        <v>254</v>
      </c>
      <c r="E121" s="19">
        <v>1600.0</v>
      </c>
      <c r="F121" s="20" t="s">
        <v>261</v>
      </c>
    </row>
    <row r="122">
      <c r="A122" s="3">
        <f t="shared" ref="A122:A126" si="8">A121+1</f>
        <v>86</v>
      </c>
      <c r="B122" s="13" t="s">
        <v>262</v>
      </c>
      <c r="C122" s="13" t="s">
        <v>254</v>
      </c>
      <c r="E122" s="19">
        <v>1600.0</v>
      </c>
      <c r="F122" s="20" t="s">
        <v>263</v>
      </c>
    </row>
    <row r="123">
      <c r="A123" s="3">
        <f t="shared" si="8"/>
        <v>87</v>
      </c>
      <c r="B123" s="13" t="s">
        <v>264</v>
      </c>
      <c r="C123" s="13" t="s">
        <v>254</v>
      </c>
      <c r="E123" s="19">
        <v>1400.0</v>
      </c>
      <c r="F123" s="20" t="s">
        <v>265</v>
      </c>
    </row>
    <row r="124">
      <c r="A124" s="3">
        <f t="shared" si="8"/>
        <v>88</v>
      </c>
      <c r="B124" s="13" t="s">
        <v>266</v>
      </c>
      <c r="C124" s="13" t="s">
        <v>254</v>
      </c>
      <c r="E124" s="19">
        <v>1700.0</v>
      </c>
      <c r="F124" s="20" t="s">
        <v>267</v>
      </c>
    </row>
    <row r="125">
      <c r="A125" s="3">
        <f t="shared" si="8"/>
        <v>89</v>
      </c>
      <c r="B125" s="13" t="s">
        <v>268</v>
      </c>
      <c r="C125" s="13" t="s">
        <v>254</v>
      </c>
      <c r="E125" s="19">
        <v>2000.0</v>
      </c>
      <c r="F125" s="11" t="s">
        <v>269</v>
      </c>
    </row>
    <row r="126">
      <c r="A126" s="3">
        <f t="shared" si="8"/>
        <v>90</v>
      </c>
      <c r="B126" s="13" t="s">
        <v>270</v>
      </c>
      <c r="C126" s="13" t="s">
        <v>254</v>
      </c>
      <c r="E126" s="19">
        <v>2000.0</v>
      </c>
      <c r="F126" s="20" t="s">
        <v>271</v>
      </c>
    </row>
    <row r="127">
      <c r="A127" s="9">
        <v>90.0</v>
      </c>
      <c r="B127" s="22" t="s">
        <v>272</v>
      </c>
      <c r="C127" s="13" t="s">
        <v>273</v>
      </c>
      <c r="E127" s="19">
        <v>1800.0</v>
      </c>
      <c r="F127" s="25" t="s">
        <v>274</v>
      </c>
    </row>
    <row r="128">
      <c r="A128" s="9">
        <v>91.0</v>
      </c>
      <c r="B128" s="26" t="s">
        <v>275</v>
      </c>
      <c r="C128" s="13" t="s">
        <v>273</v>
      </c>
      <c r="E128" s="19">
        <v>1800.0</v>
      </c>
      <c r="F128" s="20" t="s">
        <v>276</v>
      </c>
    </row>
    <row r="129">
      <c r="A129" s="9">
        <v>92.0</v>
      </c>
      <c r="B129" s="26" t="s">
        <v>277</v>
      </c>
      <c r="C129" s="13" t="s">
        <v>273</v>
      </c>
      <c r="E129" s="19">
        <v>1800.0</v>
      </c>
      <c r="F129" s="20" t="s">
        <v>278</v>
      </c>
    </row>
    <row r="130">
      <c r="A130" s="9">
        <v>93.0</v>
      </c>
      <c r="B130" s="26" t="s">
        <v>279</v>
      </c>
      <c r="C130" s="13" t="s">
        <v>273</v>
      </c>
      <c r="E130" s="19">
        <v>1800.0</v>
      </c>
      <c r="F130" s="20" t="s">
        <v>280</v>
      </c>
    </row>
    <row r="131">
      <c r="A131" s="9">
        <v>94.0</v>
      </c>
      <c r="B131" s="26" t="s">
        <v>281</v>
      </c>
      <c r="C131" s="13" t="s">
        <v>273</v>
      </c>
      <c r="E131" s="19">
        <v>1800.0</v>
      </c>
      <c r="F131" s="20" t="s">
        <v>282</v>
      </c>
    </row>
    <row r="132">
      <c r="A132" s="9">
        <v>95.0</v>
      </c>
      <c r="B132" s="26" t="s">
        <v>283</v>
      </c>
      <c r="C132" s="13" t="s">
        <v>273</v>
      </c>
      <c r="E132" s="19">
        <v>1800.0</v>
      </c>
      <c r="F132" s="20" t="s">
        <v>284</v>
      </c>
    </row>
    <row r="133">
      <c r="A133" s="9">
        <v>97.0</v>
      </c>
      <c r="B133" s="13" t="s">
        <v>285</v>
      </c>
      <c r="C133" s="13" t="s">
        <v>254</v>
      </c>
      <c r="E133" s="19">
        <v>1200.0</v>
      </c>
      <c r="F133" s="20" t="s">
        <v>286</v>
      </c>
    </row>
    <row r="134">
      <c r="A134" s="3">
        <f>A133+1</f>
        <v>98</v>
      </c>
      <c r="B134" s="13" t="s">
        <v>287</v>
      </c>
      <c r="C134" s="13" t="s">
        <v>288</v>
      </c>
      <c r="E134" s="19">
        <v>18000.0</v>
      </c>
      <c r="F134" s="20" t="s">
        <v>289</v>
      </c>
    </row>
    <row r="135">
      <c r="A135" s="3"/>
      <c r="B135" s="27" t="s">
        <v>290</v>
      </c>
      <c r="C135" s="13" t="s">
        <v>291</v>
      </c>
      <c r="E135" s="19">
        <v>2500.0</v>
      </c>
      <c r="F135" s="20" t="s">
        <v>292</v>
      </c>
    </row>
    <row r="136">
      <c r="A136" s="3"/>
      <c r="B136" s="27" t="s">
        <v>293</v>
      </c>
      <c r="C136" s="13" t="s">
        <v>291</v>
      </c>
      <c r="E136" s="19">
        <v>2500.0</v>
      </c>
      <c r="F136" s="20" t="s">
        <v>294</v>
      </c>
    </row>
    <row r="137">
      <c r="A137" s="3"/>
      <c r="B137" s="27" t="s">
        <v>295</v>
      </c>
      <c r="C137" s="13" t="s">
        <v>291</v>
      </c>
      <c r="E137" s="19">
        <v>2500.0</v>
      </c>
      <c r="F137" s="20" t="s">
        <v>296</v>
      </c>
    </row>
    <row r="138">
      <c r="A138" s="3"/>
      <c r="B138" s="27" t="s">
        <v>297</v>
      </c>
      <c r="C138" s="13" t="s">
        <v>291</v>
      </c>
      <c r="E138" s="19">
        <v>4000.0</v>
      </c>
      <c r="F138" s="20" t="s">
        <v>298</v>
      </c>
    </row>
    <row r="139">
      <c r="A139" s="3"/>
      <c r="B139" s="27" t="s">
        <v>299</v>
      </c>
      <c r="C139" s="13" t="s">
        <v>291</v>
      </c>
      <c r="E139" s="19">
        <v>4000.0</v>
      </c>
      <c r="F139" s="20" t="s">
        <v>300</v>
      </c>
    </row>
    <row r="140">
      <c r="A140" s="3"/>
      <c r="B140" s="27" t="s">
        <v>301</v>
      </c>
      <c r="C140" s="13" t="s">
        <v>291</v>
      </c>
      <c r="E140" s="19">
        <v>9000.0</v>
      </c>
      <c r="F140" s="20" t="s">
        <v>302</v>
      </c>
    </row>
    <row r="141">
      <c r="A141" s="3">
        <f>A134+1</f>
        <v>99</v>
      </c>
      <c r="B141" s="13" t="s">
        <v>303</v>
      </c>
      <c r="C141" s="13" t="s">
        <v>288</v>
      </c>
      <c r="E141" s="19">
        <v>18000.0</v>
      </c>
      <c r="F141" s="20" t="s">
        <v>304</v>
      </c>
    </row>
    <row r="142">
      <c r="A142" s="9">
        <v>104.0</v>
      </c>
      <c r="B142" s="13" t="s">
        <v>305</v>
      </c>
      <c r="C142" s="13" t="s">
        <v>306</v>
      </c>
      <c r="E142" s="19">
        <v>7800.0</v>
      </c>
      <c r="F142" s="20" t="s">
        <v>307</v>
      </c>
    </row>
    <row r="143">
      <c r="A143" s="9">
        <v>105.0</v>
      </c>
      <c r="B143" s="21" t="s">
        <v>308</v>
      </c>
      <c r="C143" s="22" t="s">
        <v>306</v>
      </c>
      <c r="E143" s="19">
        <v>7800.0</v>
      </c>
      <c r="F143" s="20" t="s">
        <v>309</v>
      </c>
    </row>
    <row r="144">
      <c r="A144" s="9">
        <v>106.0</v>
      </c>
      <c r="B144" s="21" t="s">
        <v>310</v>
      </c>
      <c r="C144" s="13" t="s">
        <v>306</v>
      </c>
      <c r="E144" s="19">
        <v>7800.0</v>
      </c>
      <c r="F144" s="20" t="s">
        <v>311</v>
      </c>
    </row>
    <row r="145">
      <c r="A145" s="9">
        <v>107.0</v>
      </c>
      <c r="B145" s="13" t="s">
        <v>312</v>
      </c>
      <c r="C145" s="13" t="s">
        <v>313</v>
      </c>
      <c r="E145" s="19">
        <v>7200.0</v>
      </c>
      <c r="F145" s="20" t="s">
        <v>314</v>
      </c>
    </row>
    <row r="146">
      <c r="A146" s="3">
        <f t="shared" ref="A146:A151" si="9">A145+1</f>
        <v>108</v>
      </c>
      <c r="B146" s="13" t="s">
        <v>315</v>
      </c>
      <c r="C146" s="13" t="s">
        <v>313</v>
      </c>
      <c r="E146" s="19">
        <v>7500.0</v>
      </c>
      <c r="F146" s="20" t="s">
        <v>316</v>
      </c>
    </row>
    <row r="147">
      <c r="A147" s="3">
        <f t="shared" si="9"/>
        <v>109</v>
      </c>
      <c r="B147" s="13" t="s">
        <v>317</v>
      </c>
      <c r="C147" s="13" t="s">
        <v>313</v>
      </c>
      <c r="E147" s="19">
        <v>7200.0</v>
      </c>
      <c r="F147" s="20" t="s">
        <v>318</v>
      </c>
    </row>
    <row r="148">
      <c r="A148" s="3">
        <f t="shared" si="9"/>
        <v>110</v>
      </c>
      <c r="B148" s="13" t="s">
        <v>319</v>
      </c>
      <c r="C148" s="13" t="s">
        <v>313</v>
      </c>
      <c r="E148" s="19">
        <v>7200.0</v>
      </c>
      <c r="F148" s="20" t="s">
        <v>320</v>
      </c>
    </row>
    <row r="149">
      <c r="A149" s="3">
        <f t="shared" si="9"/>
        <v>111</v>
      </c>
      <c r="B149" s="13" t="s">
        <v>321</v>
      </c>
      <c r="C149" s="13" t="s">
        <v>313</v>
      </c>
      <c r="E149" s="19">
        <v>7200.0</v>
      </c>
      <c r="F149" s="20" t="s">
        <v>322</v>
      </c>
    </row>
    <row r="150">
      <c r="A150" s="3">
        <f t="shared" si="9"/>
        <v>112</v>
      </c>
      <c r="B150" s="13" t="s">
        <v>323</v>
      </c>
      <c r="C150" s="13" t="s">
        <v>324</v>
      </c>
      <c r="E150" s="19">
        <v>6000.0</v>
      </c>
      <c r="F150" s="20" t="s">
        <v>325</v>
      </c>
    </row>
    <row r="151">
      <c r="A151" s="3">
        <f t="shared" si="9"/>
        <v>113</v>
      </c>
      <c r="B151" s="13" t="s">
        <v>326</v>
      </c>
      <c r="C151" s="13" t="s">
        <v>324</v>
      </c>
      <c r="E151" s="19">
        <v>6000.0</v>
      </c>
      <c r="F151" s="20" t="s">
        <v>327</v>
      </c>
    </row>
    <row r="152">
      <c r="A152" s="9">
        <v>116.0</v>
      </c>
      <c r="B152" s="13" t="s">
        <v>328</v>
      </c>
      <c r="C152" s="13" t="s">
        <v>324</v>
      </c>
      <c r="E152" s="19">
        <v>6000.0</v>
      </c>
      <c r="F152" s="20" t="s">
        <v>329</v>
      </c>
    </row>
    <row r="153">
      <c r="A153" s="21">
        <v>117.0</v>
      </c>
      <c r="B153" s="21" t="s">
        <v>330</v>
      </c>
      <c r="C153" s="13" t="s">
        <v>331</v>
      </c>
      <c r="E153" s="19">
        <v>4800.0</v>
      </c>
      <c r="F153" s="20" t="s">
        <v>332</v>
      </c>
    </row>
    <row r="154">
      <c r="A154" s="21">
        <v>117.0</v>
      </c>
      <c r="B154" s="21" t="s">
        <v>333</v>
      </c>
      <c r="C154" s="13" t="s">
        <v>331</v>
      </c>
      <c r="E154" s="19">
        <v>4800.0</v>
      </c>
      <c r="F154" s="20" t="s">
        <v>334</v>
      </c>
    </row>
    <row r="155">
      <c r="A155" s="21">
        <v>118.0</v>
      </c>
      <c r="B155" s="21" t="s">
        <v>335</v>
      </c>
      <c r="C155" s="13" t="s">
        <v>331</v>
      </c>
      <c r="E155" s="19">
        <v>4800.0</v>
      </c>
      <c r="F155" s="20" t="s">
        <v>336</v>
      </c>
    </row>
    <row r="156">
      <c r="A156" s="21">
        <v>119.0</v>
      </c>
      <c r="B156" s="21" t="s">
        <v>337</v>
      </c>
      <c r="C156" s="13" t="s">
        <v>331</v>
      </c>
      <c r="E156" s="19">
        <v>4800.0</v>
      </c>
      <c r="F156" s="20" t="s">
        <v>338</v>
      </c>
    </row>
    <row r="157">
      <c r="A157" s="9"/>
      <c r="B157" s="13" t="s">
        <v>339</v>
      </c>
      <c r="C157" s="13" t="s">
        <v>340</v>
      </c>
      <c r="E157" s="19">
        <v>5000.0</v>
      </c>
      <c r="F157" s="20" t="s">
        <v>341</v>
      </c>
    </row>
    <row r="158">
      <c r="A158" s="9">
        <v>120.0</v>
      </c>
      <c r="B158" s="13" t="s">
        <v>342</v>
      </c>
      <c r="C158" s="13" t="s">
        <v>324</v>
      </c>
      <c r="E158" s="19">
        <v>1000.0</v>
      </c>
      <c r="F158" s="20" t="s">
        <v>343</v>
      </c>
    </row>
    <row r="159">
      <c r="A159" s="9">
        <v>121.0</v>
      </c>
      <c r="B159" s="13" t="s">
        <v>344</v>
      </c>
      <c r="C159" s="13" t="s">
        <v>324</v>
      </c>
      <c r="E159" s="19">
        <v>1800.0</v>
      </c>
      <c r="F159" s="20" t="s">
        <v>345</v>
      </c>
    </row>
    <row r="160">
      <c r="A160" s="9">
        <v>122.0</v>
      </c>
      <c r="B160" s="13" t="s">
        <v>346</v>
      </c>
      <c r="C160" s="13" t="s">
        <v>347</v>
      </c>
      <c r="E160" s="19">
        <v>1000.0</v>
      </c>
      <c r="F160" s="20" t="s">
        <v>348</v>
      </c>
    </row>
    <row r="161">
      <c r="A161" s="3">
        <f t="shared" ref="A161:A166" si="10">A160+1</f>
        <v>123</v>
      </c>
      <c r="B161" s="13" t="s">
        <v>349</v>
      </c>
      <c r="C161" s="13" t="s">
        <v>347</v>
      </c>
      <c r="E161" s="19">
        <v>1000.0</v>
      </c>
      <c r="F161" s="20" t="s">
        <v>350</v>
      </c>
    </row>
    <row r="162">
      <c r="A162" s="3">
        <f t="shared" si="10"/>
        <v>124</v>
      </c>
      <c r="B162" s="13" t="s">
        <v>351</v>
      </c>
      <c r="C162" s="13" t="s">
        <v>347</v>
      </c>
      <c r="E162" s="19">
        <v>1000.0</v>
      </c>
      <c r="F162" s="20" t="s">
        <v>352</v>
      </c>
    </row>
    <row r="163">
      <c r="A163" s="3">
        <f t="shared" si="10"/>
        <v>125</v>
      </c>
      <c r="B163" s="13" t="s">
        <v>353</v>
      </c>
      <c r="C163" s="13" t="s">
        <v>347</v>
      </c>
      <c r="E163" s="19">
        <v>1000.0</v>
      </c>
      <c r="F163" s="20" t="s">
        <v>354</v>
      </c>
    </row>
    <row r="164">
      <c r="A164" s="3">
        <f t="shared" si="10"/>
        <v>126</v>
      </c>
      <c r="B164" s="13" t="s">
        <v>355</v>
      </c>
      <c r="C164" s="13" t="s">
        <v>347</v>
      </c>
      <c r="E164" s="19">
        <v>1000.0</v>
      </c>
      <c r="F164" s="20" t="s">
        <v>356</v>
      </c>
    </row>
    <row r="165">
      <c r="A165" s="3">
        <f t="shared" si="10"/>
        <v>127</v>
      </c>
      <c r="B165" s="13" t="s">
        <v>357</v>
      </c>
      <c r="C165" s="13" t="s">
        <v>347</v>
      </c>
      <c r="E165" s="19">
        <v>1700.0</v>
      </c>
      <c r="F165" s="20" t="s">
        <v>358</v>
      </c>
    </row>
    <row r="166">
      <c r="A166" s="3">
        <f t="shared" si="10"/>
        <v>128</v>
      </c>
      <c r="B166" s="13" t="s">
        <v>359</v>
      </c>
      <c r="C166" s="13" t="s">
        <v>347</v>
      </c>
      <c r="E166" s="19">
        <v>1500.0</v>
      </c>
      <c r="F166" s="20" t="s">
        <v>360</v>
      </c>
    </row>
    <row r="167">
      <c r="A167" s="9">
        <v>128.0</v>
      </c>
      <c r="B167" s="13" t="s">
        <v>361</v>
      </c>
      <c r="C167" s="13" t="s">
        <v>362</v>
      </c>
      <c r="E167" s="19">
        <v>1700.0</v>
      </c>
      <c r="F167" s="20" t="s">
        <v>363</v>
      </c>
    </row>
    <row r="168">
      <c r="A168" s="9">
        <v>129.0</v>
      </c>
      <c r="B168" s="13" t="s">
        <v>364</v>
      </c>
      <c r="C168" s="13" t="s">
        <v>347</v>
      </c>
      <c r="E168" s="19">
        <v>3000.0</v>
      </c>
      <c r="F168" s="20" t="s">
        <v>365</v>
      </c>
    </row>
    <row r="169">
      <c r="A169" s="3">
        <f>A168+1</f>
        <v>130</v>
      </c>
      <c r="B169" s="23" t="s">
        <v>366</v>
      </c>
      <c r="C169" s="13" t="s">
        <v>367</v>
      </c>
      <c r="E169" s="13">
        <v>3000.0</v>
      </c>
      <c r="F169" s="20" t="s">
        <v>368</v>
      </c>
    </row>
    <row r="170">
      <c r="A170" s="9"/>
      <c r="B170" s="21" t="s">
        <v>369</v>
      </c>
      <c r="C170" s="22"/>
      <c r="E170" s="13">
        <v>3200.0</v>
      </c>
      <c r="F170" s="20" t="s">
        <v>370</v>
      </c>
    </row>
    <row r="171">
      <c r="A171" s="9">
        <v>131.0</v>
      </c>
      <c r="B171" s="21" t="s">
        <v>371</v>
      </c>
      <c r="C171" s="22" t="s">
        <v>372</v>
      </c>
      <c r="E171" s="13">
        <v>7500.0</v>
      </c>
      <c r="F171" s="20" t="s">
        <v>373</v>
      </c>
    </row>
    <row r="172">
      <c r="A172" s="9">
        <v>131.0</v>
      </c>
      <c r="B172" s="28" t="s">
        <v>374</v>
      </c>
      <c r="C172" s="22" t="s">
        <v>375</v>
      </c>
      <c r="E172" s="13">
        <v>8200.0</v>
      </c>
      <c r="F172" s="20" t="s">
        <v>376</v>
      </c>
    </row>
    <row r="173">
      <c r="A173" s="9">
        <v>132.0</v>
      </c>
      <c r="B173" s="28" t="s">
        <v>377</v>
      </c>
      <c r="C173" s="22" t="s">
        <v>375</v>
      </c>
      <c r="E173" s="13">
        <v>9800.0</v>
      </c>
      <c r="F173" s="20" t="s">
        <v>378</v>
      </c>
    </row>
    <row r="174">
      <c r="A174" s="9">
        <v>133.0</v>
      </c>
      <c r="B174" s="28" t="s">
        <v>379</v>
      </c>
      <c r="C174" s="22" t="s">
        <v>375</v>
      </c>
      <c r="E174" s="19">
        <v>14900.0</v>
      </c>
      <c r="F174" s="20" t="s">
        <v>380</v>
      </c>
    </row>
    <row r="175">
      <c r="A175" s="9">
        <v>134.0</v>
      </c>
      <c r="B175" s="28" t="s">
        <v>381</v>
      </c>
      <c r="C175" s="22" t="s">
        <v>375</v>
      </c>
      <c r="E175" s="19">
        <v>16500.0</v>
      </c>
      <c r="F175" s="20" t="s">
        <v>382</v>
      </c>
    </row>
    <row r="176">
      <c r="A176" s="9">
        <v>135.0</v>
      </c>
      <c r="B176" s="28" t="s">
        <v>383</v>
      </c>
      <c r="C176" s="22" t="s">
        <v>375</v>
      </c>
      <c r="E176" s="13">
        <v>6500.0</v>
      </c>
      <c r="F176" s="20" t="s">
        <v>384</v>
      </c>
    </row>
    <row r="177">
      <c r="A177" s="9">
        <v>136.0</v>
      </c>
      <c r="B177" s="21" t="s">
        <v>385</v>
      </c>
      <c r="C177" s="22" t="s">
        <v>375</v>
      </c>
      <c r="E177" s="19">
        <v>13900.0</v>
      </c>
      <c r="F177" s="20" t="s">
        <v>386</v>
      </c>
    </row>
    <row r="178">
      <c r="A178" s="9">
        <v>137.0</v>
      </c>
      <c r="B178" s="28" t="s">
        <v>387</v>
      </c>
      <c r="C178" s="22" t="s">
        <v>375</v>
      </c>
      <c r="E178" s="19">
        <v>8900.0</v>
      </c>
      <c r="F178" s="20" t="s">
        <v>388</v>
      </c>
    </row>
    <row r="179">
      <c r="A179" s="9">
        <v>138.0</v>
      </c>
      <c r="B179" s="28"/>
      <c r="C179" s="22"/>
      <c r="E179" s="19"/>
    </row>
    <row r="180">
      <c r="A180" s="9">
        <v>139.0</v>
      </c>
      <c r="B180" s="28" t="s">
        <v>389</v>
      </c>
      <c r="C180" s="22"/>
      <c r="E180" s="19"/>
    </row>
    <row r="181">
      <c r="A181" s="9">
        <v>140.0</v>
      </c>
      <c r="B181" s="28" t="s">
        <v>390</v>
      </c>
      <c r="C181" s="22" t="s">
        <v>375</v>
      </c>
      <c r="E181" s="19"/>
      <c r="F181" s="20" t="s">
        <v>391</v>
      </c>
    </row>
    <row r="182">
      <c r="A182" s="9">
        <v>141.0</v>
      </c>
      <c r="B182" s="28" t="s">
        <v>392</v>
      </c>
      <c r="C182" s="22" t="s">
        <v>375</v>
      </c>
      <c r="E182" s="19"/>
      <c r="F182" s="20" t="s">
        <v>393</v>
      </c>
    </row>
    <row r="183">
      <c r="A183" s="9">
        <v>142.0</v>
      </c>
      <c r="B183" s="28" t="s">
        <v>394</v>
      </c>
      <c r="C183" s="22" t="s">
        <v>375</v>
      </c>
      <c r="E183" s="19">
        <v>11000.0</v>
      </c>
      <c r="F183" s="20" t="s">
        <v>395</v>
      </c>
    </row>
    <row r="184">
      <c r="A184" s="9">
        <v>143.0</v>
      </c>
      <c r="B184" s="28" t="s">
        <v>396</v>
      </c>
      <c r="C184" s="22" t="s">
        <v>375</v>
      </c>
      <c r="E184" s="19"/>
      <c r="F184" s="20" t="s">
        <v>397</v>
      </c>
    </row>
    <row r="185">
      <c r="A185" s="9">
        <v>144.0</v>
      </c>
      <c r="B185" s="28" t="s">
        <v>398</v>
      </c>
      <c r="C185" s="22" t="s">
        <v>375</v>
      </c>
      <c r="E185" s="19"/>
      <c r="F185" s="20" t="s">
        <v>399</v>
      </c>
    </row>
    <row r="186">
      <c r="A186" s="9">
        <v>145.0</v>
      </c>
      <c r="B186" s="29" t="s">
        <v>400</v>
      </c>
      <c r="C186" s="22" t="s">
        <v>375</v>
      </c>
      <c r="E186" s="19"/>
      <c r="F186" s="20" t="s">
        <v>401</v>
      </c>
    </row>
    <row r="187">
      <c r="A187" s="9">
        <v>146.0</v>
      </c>
      <c r="B187" s="28" t="s">
        <v>402</v>
      </c>
      <c r="C187" s="22" t="s">
        <v>375</v>
      </c>
      <c r="E187" s="19"/>
      <c r="F187" s="20" t="s">
        <v>403</v>
      </c>
    </row>
    <row r="188">
      <c r="A188" s="9">
        <v>147.0</v>
      </c>
      <c r="B188" s="21" t="s">
        <v>404</v>
      </c>
      <c r="C188" s="22" t="s">
        <v>375</v>
      </c>
      <c r="E188" s="19"/>
      <c r="F188" s="20" t="s">
        <v>405</v>
      </c>
    </row>
    <row r="189">
      <c r="A189" s="9">
        <v>148.0</v>
      </c>
      <c r="B189" s="21" t="s">
        <v>406</v>
      </c>
      <c r="C189" s="22" t="s">
        <v>375</v>
      </c>
      <c r="E189" s="19"/>
      <c r="F189" s="20" t="s">
        <v>407</v>
      </c>
    </row>
    <row r="190">
      <c r="A190" s="9">
        <v>149.0</v>
      </c>
      <c r="B190" s="21" t="s">
        <v>408</v>
      </c>
      <c r="C190" s="22" t="s">
        <v>375</v>
      </c>
      <c r="E190" s="19"/>
      <c r="F190" s="20" t="s">
        <v>409</v>
      </c>
    </row>
    <row r="191">
      <c r="A191" s="9">
        <v>150.0</v>
      </c>
      <c r="B191" s="28" t="s">
        <v>410</v>
      </c>
      <c r="C191" s="22" t="s">
        <v>375</v>
      </c>
      <c r="E191" s="19"/>
      <c r="F191" s="20" t="s">
        <v>411</v>
      </c>
    </row>
    <row r="192">
      <c r="A192" s="9">
        <v>151.0</v>
      </c>
      <c r="B192" s="28" t="s">
        <v>412</v>
      </c>
      <c r="C192" s="22" t="s">
        <v>375</v>
      </c>
      <c r="E192" s="19"/>
      <c r="F192" s="20" t="s">
        <v>413</v>
      </c>
    </row>
    <row r="193">
      <c r="A193" s="9">
        <v>152.0</v>
      </c>
      <c r="B193" s="28" t="s">
        <v>414</v>
      </c>
      <c r="C193" s="22" t="s">
        <v>375</v>
      </c>
      <c r="E193" s="19"/>
      <c r="F193" s="20" t="s">
        <v>415</v>
      </c>
    </row>
    <row r="194">
      <c r="A194" s="9">
        <v>153.0</v>
      </c>
      <c r="B194" s="28" t="s">
        <v>416</v>
      </c>
      <c r="C194" s="22" t="s">
        <v>375</v>
      </c>
      <c r="E194" s="19"/>
      <c r="F194" s="20" t="s">
        <v>417</v>
      </c>
    </row>
    <row r="195">
      <c r="A195" s="9">
        <v>154.0</v>
      </c>
      <c r="B195" s="28" t="s">
        <v>418</v>
      </c>
      <c r="C195" s="22" t="s">
        <v>375</v>
      </c>
      <c r="E195" s="19"/>
      <c r="F195" s="20" t="s">
        <v>419</v>
      </c>
    </row>
    <row r="196">
      <c r="A196" s="9">
        <v>155.0</v>
      </c>
      <c r="B196" s="13" t="s">
        <v>420</v>
      </c>
      <c r="C196" s="22" t="s">
        <v>375</v>
      </c>
      <c r="E196" s="19"/>
      <c r="F196" s="20" t="s">
        <v>421</v>
      </c>
    </row>
  </sheetData>
  <hyperlinks>
    <hyperlink r:id="rId4" ref="F2"/>
    <hyperlink r:id="rId5" ref="F3"/>
    <hyperlink r:id="rId6" ref="F4"/>
    <hyperlink r:id="rId7" ref="F5"/>
    <hyperlink r:id="rId8" ref="F6"/>
    <hyperlink r:id="rId9" ref="F7"/>
    <hyperlink r:id="rId10" ref="F8"/>
    <hyperlink r:id="rId11" ref="F9"/>
    <hyperlink r:id="rId12" ref="F10"/>
    <hyperlink r:id="rId13" ref="F11"/>
    <hyperlink r:id="rId14" ref="F12"/>
    <hyperlink r:id="rId15" ref="F13"/>
    <hyperlink r:id="rId16" ref="F14"/>
    <hyperlink r:id="rId17" ref="F15"/>
    <hyperlink r:id="rId18" ref="F16"/>
    <hyperlink r:id="rId19" ref="F17"/>
    <hyperlink r:id="rId20" ref="F18"/>
    <hyperlink r:id="rId21" ref="F19"/>
    <hyperlink r:id="rId22" ref="F20"/>
    <hyperlink r:id="rId23" ref="F21"/>
    <hyperlink r:id="rId24" ref="F22"/>
    <hyperlink r:id="rId25" ref="F23"/>
    <hyperlink r:id="rId26" ref="F24"/>
    <hyperlink r:id="rId27" ref="F25"/>
    <hyperlink r:id="rId28" ref="F26"/>
    <hyperlink r:id="rId29" ref="F27"/>
    <hyperlink r:id="rId30" ref="F28"/>
    <hyperlink r:id="rId31" ref="F29"/>
    <hyperlink r:id="rId32" ref="F31"/>
    <hyperlink r:id="rId33" ref="F32"/>
    <hyperlink r:id="rId34" ref="F33"/>
    <hyperlink r:id="rId35" ref="F34"/>
    <hyperlink r:id="rId36" ref="F35"/>
    <hyperlink r:id="rId37" ref="F36"/>
    <hyperlink r:id="rId38" ref="F37"/>
    <hyperlink r:id="rId39" ref="F38"/>
    <hyperlink r:id="rId40" ref="F39"/>
    <hyperlink r:id="rId41" ref="F40"/>
    <hyperlink r:id="rId42" ref="F41"/>
    <hyperlink r:id="rId43" ref="F42"/>
    <hyperlink r:id="rId44" ref="F43"/>
    <hyperlink r:id="rId45" ref="F44"/>
    <hyperlink r:id="rId46" ref="F45"/>
    <hyperlink r:id="rId47" ref="F46"/>
    <hyperlink r:id="rId48" ref="F47"/>
    <hyperlink r:id="rId49" ref="F48"/>
    <hyperlink r:id="rId50" ref="F49"/>
    <hyperlink r:id="rId51" ref="F50"/>
    <hyperlink r:id="rId52" ref="F51"/>
    <hyperlink r:id="rId53" ref="F52"/>
    <hyperlink r:id="rId54" ref="F53"/>
    <hyperlink r:id="rId55" ref="F54"/>
    <hyperlink r:id="rId56" ref="F55"/>
    <hyperlink r:id="rId57" ref="F56"/>
    <hyperlink r:id="rId58" ref="F57"/>
    <hyperlink r:id="rId59" ref="F59"/>
    <hyperlink r:id="rId60" ref="F60"/>
    <hyperlink r:id="rId61" ref="F61"/>
    <hyperlink r:id="rId62" ref="F62"/>
    <hyperlink r:id="rId63" ref="F63"/>
    <hyperlink r:id="rId64" ref="F64"/>
    <hyperlink r:id="rId65" ref="F65"/>
    <hyperlink r:id="rId66" ref="F66"/>
    <hyperlink r:id="rId67" ref="F67"/>
    <hyperlink r:id="rId68" ref="F68"/>
    <hyperlink r:id="rId69" ref="F69"/>
    <hyperlink r:id="rId70" ref="F70"/>
    <hyperlink r:id="rId71" ref="F71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3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81"/>
    <hyperlink r:id="rId178" ref="F182"/>
    <hyperlink r:id="rId179" ref="F183"/>
    <hyperlink r:id="rId180" ref="F184"/>
    <hyperlink r:id="rId181" ref="F185"/>
    <hyperlink r:id="rId182" ref="F186"/>
    <hyperlink r:id="rId183" ref="F187"/>
    <hyperlink r:id="rId184" ref="F188"/>
    <hyperlink r:id="rId185" ref="F189"/>
    <hyperlink r:id="rId186" ref="F190"/>
    <hyperlink r:id="rId187" ref="F191"/>
    <hyperlink r:id="rId188" ref="F192"/>
    <hyperlink r:id="rId189" ref="F193"/>
    <hyperlink r:id="rId190" ref="F194"/>
    <hyperlink r:id="rId191" ref="F195"/>
    <hyperlink r:id="rId192" ref="F19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93"/>
  <legacyDrawing r:id="rId1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20" t="s">
        <v>422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2">
      <c r="A2" s="13">
        <v>1.0</v>
      </c>
      <c r="B2" s="30" t="s">
        <v>423</v>
      </c>
      <c r="C2" s="31" t="s">
        <v>424</v>
      </c>
      <c r="D2" s="13">
        <v>15500.0</v>
      </c>
      <c r="E2" s="32">
        <f>D2*6</f>
        <v>93000</v>
      </c>
    </row>
    <row r="3">
      <c r="A3" s="13">
        <v>3.0</v>
      </c>
      <c r="B3" s="30" t="s">
        <v>425</v>
      </c>
      <c r="C3" s="31" t="s">
        <v>426</v>
      </c>
      <c r="D3" s="13">
        <v>6000.0</v>
      </c>
      <c r="E3" s="32">
        <f t="shared" ref="E3:E4" si="1">D3</f>
        <v>6000</v>
      </c>
    </row>
    <row r="4">
      <c r="A4" s="13">
        <v>4.0</v>
      </c>
      <c r="B4" s="30" t="s">
        <v>427</v>
      </c>
      <c r="C4" s="31" t="s">
        <v>426</v>
      </c>
      <c r="D4" s="13">
        <v>2500.0</v>
      </c>
      <c r="E4" s="32">
        <f t="shared" si="1"/>
        <v>2500</v>
      </c>
    </row>
    <row r="5">
      <c r="A5" s="13">
        <v>2.0</v>
      </c>
      <c r="B5" s="30" t="s">
        <v>428</v>
      </c>
      <c r="C5" s="31" t="s">
        <v>429</v>
      </c>
      <c r="D5" s="13">
        <v>6600.0</v>
      </c>
      <c r="E5" s="32">
        <f t="shared" ref="E5:E6" si="2">D5*2</f>
        <v>13200</v>
      </c>
    </row>
    <row r="6">
      <c r="A6" s="13">
        <v>6.0</v>
      </c>
      <c r="B6" s="30" t="s">
        <v>430</v>
      </c>
      <c r="C6" s="31" t="s">
        <v>429</v>
      </c>
      <c r="D6" s="13">
        <v>3600.0</v>
      </c>
      <c r="E6" s="32">
        <f t="shared" si="2"/>
        <v>7200</v>
      </c>
    </row>
    <row r="7">
      <c r="A7" s="13">
        <v>18.0</v>
      </c>
      <c r="B7" s="30" t="s">
        <v>431</v>
      </c>
      <c r="C7" s="31">
        <v>1.0</v>
      </c>
      <c r="D7" s="13">
        <v>2220.0</v>
      </c>
      <c r="E7" s="32">
        <f t="shared" ref="E7:E8" si="3">D7</f>
        <v>2220</v>
      </c>
    </row>
    <row r="8">
      <c r="A8" s="13">
        <v>8.0</v>
      </c>
      <c r="B8" s="30" t="s">
        <v>432</v>
      </c>
      <c r="C8" s="31" t="s">
        <v>426</v>
      </c>
      <c r="D8" s="13">
        <v>17900.0</v>
      </c>
      <c r="E8" s="32">
        <f t="shared" si="3"/>
        <v>17900</v>
      </c>
    </row>
    <row r="9">
      <c r="A9" s="13">
        <v>5.0</v>
      </c>
      <c r="B9" s="30" t="s">
        <v>433</v>
      </c>
      <c r="C9" s="31" t="s">
        <v>434</v>
      </c>
      <c r="D9" s="13">
        <v>2500.0</v>
      </c>
      <c r="E9" s="32">
        <f>D9*3</f>
        <v>7500</v>
      </c>
    </row>
    <row r="10">
      <c r="A10" s="13">
        <v>9.0</v>
      </c>
      <c r="B10" s="30" t="s">
        <v>435</v>
      </c>
      <c r="C10" s="31" t="s">
        <v>429</v>
      </c>
      <c r="D10" s="13">
        <v>28500.0</v>
      </c>
      <c r="E10" s="32">
        <f t="shared" ref="E10:E11" si="4">D10*2</f>
        <v>57000</v>
      </c>
    </row>
    <row r="11">
      <c r="A11" s="13">
        <v>7.0</v>
      </c>
      <c r="B11" s="30" t="s">
        <v>436</v>
      </c>
      <c r="C11" s="31" t="s">
        <v>429</v>
      </c>
      <c r="D11" s="13">
        <v>3400.0</v>
      </c>
      <c r="E11" s="32">
        <f t="shared" si="4"/>
        <v>6800</v>
      </c>
    </row>
    <row r="12">
      <c r="A12" s="13">
        <v>10.0</v>
      </c>
      <c r="B12" s="30" t="s">
        <v>437</v>
      </c>
      <c r="C12" s="31" t="s">
        <v>426</v>
      </c>
      <c r="D12" s="13">
        <v>6400.0</v>
      </c>
      <c r="E12" s="32">
        <f>D12</f>
        <v>6400</v>
      </c>
    </row>
    <row r="13">
      <c r="A13" s="13">
        <v>11.0</v>
      </c>
      <c r="B13" s="30" t="s">
        <v>438</v>
      </c>
      <c r="C13" s="31" t="s">
        <v>429</v>
      </c>
      <c r="D13" s="13">
        <v>4600.0</v>
      </c>
      <c r="E13" s="32">
        <f>D13*2</f>
        <v>9200</v>
      </c>
    </row>
    <row r="14">
      <c r="A14" s="13">
        <v>12.0</v>
      </c>
      <c r="B14" s="30" t="s">
        <v>439</v>
      </c>
      <c r="C14" s="31">
        <v>1.0</v>
      </c>
      <c r="D14" s="13">
        <v>3300.0</v>
      </c>
      <c r="E14" s="32">
        <f t="shared" ref="E14:E18" si="5">D14</f>
        <v>3300</v>
      </c>
    </row>
    <row r="15">
      <c r="A15" s="13">
        <v>13.0</v>
      </c>
      <c r="B15" s="30" t="s">
        <v>440</v>
      </c>
      <c r="C15" s="31" t="s">
        <v>426</v>
      </c>
      <c r="D15" s="13">
        <v>6600.0</v>
      </c>
      <c r="E15" s="32">
        <f t="shared" si="5"/>
        <v>6600</v>
      </c>
    </row>
    <row r="16">
      <c r="A16" s="13">
        <v>14.0</v>
      </c>
      <c r="B16" s="30" t="s">
        <v>441</v>
      </c>
      <c r="C16" s="31">
        <v>1.0</v>
      </c>
      <c r="D16" s="13">
        <v>1130.0</v>
      </c>
      <c r="E16" s="32">
        <f t="shared" si="5"/>
        <v>1130</v>
      </c>
    </row>
    <row r="17">
      <c r="A17" s="13">
        <v>15.0</v>
      </c>
      <c r="B17" s="30" t="s">
        <v>442</v>
      </c>
      <c r="C17" s="31">
        <v>1.0</v>
      </c>
      <c r="D17" s="13">
        <v>1140.0</v>
      </c>
      <c r="E17" s="32">
        <f t="shared" si="5"/>
        <v>1140</v>
      </c>
    </row>
    <row r="18">
      <c r="B18" s="30" t="s">
        <v>443</v>
      </c>
      <c r="C18" s="31" t="s">
        <v>426</v>
      </c>
      <c r="D18" s="13">
        <v>12300.0</v>
      </c>
      <c r="E18" s="32">
        <f t="shared" si="5"/>
        <v>12300</v>
      </c>
    </row>
    <row r="19">
      <c r="B19" s="30" t="s">
        <v>444</v>
      </c>
      <c r="C19" s="31" t="s">
        <v>445</v>
      </c>
      <c r="D19" s="13">
        <v>7900.0</v>
      </c>
      <c r="E19" s="32">
        <f>D19*4</f>
        <v>31600</v>
      </c>
    </row>
    <row r="20">
      <c r="A20" s="13">
        <v>16.0</v>
      </c>
      <c r="B20" s="30" t="s">
        <v>446</v>
      </c>
      <c r="C20" s="31" t="s">
        <v>426</v>
      </c>
      <c r="D20" s="13">
        <v>2600.0</v>
      </c>
      <c r="E20" s="32">
        <f t="shared" ref="E20:E22" si="6">D20</f>
        <v>2600</v>
      </c>
    </row>
    <row r="21">
      <c r="B21" s="30" t="s">
        <v>447</v>
      </c>
      <c r="C21" s="31" t="s">
        <v>426</v>
      </c>
      <c r="D21" s="13">
        <v>11000.0</v>
      </c>
      <c r="E21" s="32">
        <f t="shared" si="6"/>
        <v>11000</v>
      </c>
    </row>
    <row r="22">
      <c r="A22" s="13">
        <v>17.0</v>
      </c>
      <c r="B22" s="30" t="s">
        <v>448</v>
      </c>
      <c r="C22" s="31" t="s">
        <v>426</v>
      </c>
      <c r="D22" s="13">
        <v>16800.0</v>
      </c>
      <c r="E22" s="32">
        <f t="shared" si="6"/>
        <v>16800</v>
      </c>
    </row>
    <row r="23">
      <c r="A23" s="13">
        <v>19.0</v>
      </c>
      <c r="B23" s="30" t="s">
        <v>449</v>
      </c>
      <c r="C23" s="31" t="s">
        <v>426</v>
      </c>
      <c r="D23" s="13">
        <v>17100.0</v>
      </c>
      <c r="E23" s="32">
        <f>1</f>
        <v>1</v>
      </c>
    </row>
    <row r="24">
      <c r="E24" s="32">
        <f>SUM(E2:E23)</f>
        <v>315391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30" t="s">
        <v>450</v>
      </c>
      <c r="B1" s="30" t="s">
        <v>451</v>
      </c>
    </row>
    <row r="2">
      <c r="A2" s="30">
        <v>1.0</v>
      </c>
      <c r="B2" s="30" t="s">
        <v>452</v>
      </c>
    </row>
    <row r="3">
      <c r="A3" s="30">
        <f t="shared" ref="A3:A37" si="1">A2+1</f>
        <v>2</v>
      </c>
      <c r="B3" s="30" t="s">
        <v>453</v>
      </c>
    </row>
    <row r="4">
      <c r="A4" s="30">
        <f t="shared" si="1"/>
        <v>3</v>
      </c>
      <c r="B4" s="30" t="s">
        <v>454</v>
      </c>
    </row>
    <row r="5">
      <c r="A5" s="30">
        <f t="shared" si="1"/>
        <v>4</v>
      </c>
      <c r="B5" s="30" t="s">
        <v>455</v>
      </c>
    </row>
    <row r="6">
      <c r="A6" s="30">
        <f t="shared" si="1"/>
        <v>5</v>
      </c>
      <c r="B6" s="30" t="s">
        <v>456</v>
      </c>
    </row>
    <row r="7">
      <c r="A7" s="30">
        <f t="shared" si="1"/>
        <v>6</v>
      </c>
      <c r="B7" s="30" t="s">
        <v>457</v>
      </c>
    </row>
    <row r="8">
      <c r="A8" s="30">
        <f t="shared" si="1"/>
        <v>7</v>
      </c>
      <c r="B8" s="30" t="s">
        <v>458</v>
      </c>
    </row>
    <row r="9">
      <c r="A9" s="30">
        <f t="shared" si="1"/>
        <v>8</v>
      </c>
      <c r="B9" s="30" t="s">
        <v>459</v>
      </c>
    </row>
    <row r="10">
      <c r="A10" s="30">
        <f t="shared" si="1"/>
        <v>9</v>
      </c>
      <c r="B10" s="30" t="s">
        <v>460</v>
      </c>
    </row>
    <row r="11">
      <c r="A11" s="30">
        <f t="shared" si="1"/>
        <v>10</v>
      </c>
      <c r="B11" s="30" t="s">
        <v>461</v>
      </c>
    </row>
    <row r="12">
      <c r="A12" s="30">
        <f t="shared" si="1"/>
        <v>11</v>
      </c>
      <c r="B12" s="30" t="s">
        <v>462</v>
      </c>
    </row>
    <row r="13">
      <c r="A13" s="30">
        <f t="shared" si="1"/>
        <v>12</v>
      </c>
      <c r="B13" s="30" t="s">
        <v>463</v>
      </c>
    </row>
    <row r="14">
      <c r="A14" s="30">
        <f t="shared" si="1"/>
        <v>13</v>
      </c>
      <c r="B14" s="30" t="s">
        <v>464</v>
      </c>
    </row>
    <row r="15">
      <c r="A15" s="30">
        <f t="shared" si="1"/>
        <v>14</v>
      </c>
      <c r="B15" s="30" t="s">
        <v>465</v>
      </c>
    </row>
    <row r="16">
      <c r="A16" s="30">
        <f t="shared" si="1"/>
        <v>15</v>
      </c>
      <c r="B16" s="30" t="s">
        <v>466</v>
      </c>
    </row>
    <row r="17">
      <c r="A17" s="30">
        <f t="shared" si="1"/>
        <v>16</v>
      </c>
      <c r="B17" s="30" t="s">
        <v>467</v>
      </c>
    </row>
    <row r="18">
      <c r="A18" s="30">
        <f t="shared" si="1"/>
        <v>17</v>
      </c>
      <c r="B18" s="30" t="s">
        <v>468</v>
      </c>
    </row>
    <row r="19">
      <c r="A19" s="30">
        <f t="shared" si="1"/>
        <v>18</v>
      </c>
      <c r="B19" s="30" t="s">
        <v>469</v>
      </c>
    </row>
    <row r="20">
      <c r="A20" s="30">
        <f t="shared" si="1"/>
        <v>19</v>
      </c>
      <c r="B20" s="30" t="s">
        <v>470</v>
      </c>
    </row>
    <row r="21">
      <c r="A21" s="30">
        <f t="shared" si="1"/>
        <v>20</v>
      </c>
      <c r="B21" s="30" t="s">
        <v>471</v>
      </c>
    </row>
    <row r="22">
      <c r="A22" s="30">
        <f t="shared" si="1"/>
        <v>21</v>
      </c>
      <c r="B22" s="30" t="s">
        <v>472</v>
      </c>
    </row>
    <row r="23">
      <c r="A23" s="30">
        <f t="shared" si="1"/>
        <v>22</v>
      </c>
      <c r="B23" s="30" t="s">
        <v>473</v>
      </c>
    </row>
    <row r="24">
      <c r="A24" s="30">
        <f t="shared" si="1"/>
        <v>23</v>
      </c>
      <c r="B24" s="30" t="s">
        <v>474</v>
      </c>
    </row>
    <row r="25">
      <c r="A25" s="30">
        <f t="shared" si="1"/>
        <v>24</v>
      </c>
      <c r="B25" s="30" t="s">
        <v>475</v>
      </c>
    </row>
    <row r="26">
      <c r="A26" s="30">
        <f t="shared" si="1"/>
        <v>25</v>
      </c>
      <c r="B26" s="30" t="s">
        <v>476</v>
      </c>
    </row>
    <row r="27">
      <c r="A27" s="30">
        <f t="shared" si="1"/>
        <v>26</v>
      </c>
      <c r="B27" s="30" t="s">
        <v>477</v>
      </c>
    </row>
    <row r="28">
      <c r="A28" s="30">
        <f t="shared" si="1"/>
        <v>27</v>
      </c>
      <c r="B28" s="30" t="s">
        <v>478</v>
      </c>
    </row>
    <row r="29">
      <c r="A29" s="30">
        <f t="shared" si="1"/>
        <v>28</v>
      </c>
      <c r="B29" s="30" t="s">
        <v>479</v>
      </c>
    </row>
    <row r="30">
      <c r="A30" s="30">
        <f t="shared" si="1"/>
        <v>29</v>
      </c>
      <c r="B30" s="30" t="s">
        <v>480</v>
      </c>
    </row>
    <row r="31">
      <c r="A31" s="30">
        <f t="shared" si="1"/>
        <v>30</v>
      </c>
      <c r="B31" s="30" t="s">
        <v>481</v>
      </c>
    </row>
    <row r="32">
      <c r="A32" s="30">
        <f t="shared" si="1"/>
        <v>31</v>
      </c>
      <c r="B32" s="30" t="s">
        <v>482</v>
      </c>
    </row>
    <row r="33">
      <c r="A33" s="30">
        <f t="shared" si="1"/>
        <v>32</v>
      </c>
      <c r="B33" s="30" t="s">
        <v>483</v>
      </c>
    </row>
    <row r="34">
      <c r="A34" s="30">
        <f t="shared" si="1"/>
        <v>33</v>
      </c>
      <c r="B34" s="30" t="s">
        <v>484</v>
      </c>
    </row>
    <row r="35">
      <c r="A35" s="30">
        <f t="shared" si="1"/>
        <v>34</v>
      </c>
      <c r="B35" s="30" t="s">
        <v>485</v>
      </c>
    </row>
    <row r="36">
      <c r="A36" s="30">
        <f t="shared" si="1"/>
        <v>35</v>
      </c>
      <c r="B36" s="30" t="s">
        <v>486</v>
      </c>
    </row>
    <row r="37">
      <c r="A37" s="30">
        <f t="shared" si="1"/>
        <v>36</v>
      </c>
      <c r="B37" s="13" t="s">
        <v>487</v>
      </c>
    </row>
    <row r="38">
      <c r="A38" s="13">
        <v>37.0</v>
      </c>
      <c r="B38" s="13" t="s">
        <v>488</v>
      </c>
    </row>
    <row r="39">
      <c r="A39" s="13">
        <v>38.0</v>
      </c>
      <c r="B39" s="13" t="s">
        <v>489</v>
      </c>
    </row>
    <row r="40">
      <c r="A40" s="13">
        <v>39.0</v>
      </c>
      <c r="B40" s="13" t="s">
        <v>490</v>
      </c>
    </row>
    <row r="41">
      <c r="A41" s="13">
        <v>40.0</v>
      </c>
      <c r="B41" s="13" t="s">
        <v>491</v>
      </c>
    </row>
    <row r="42">
      <c r="A42" s="13">
        <v>41.0</v>
      </c>
      <c r="B42" s="13" t="s">
        <v>492</v>
      </c>
    </row>
    <row r="43">
      <c r="A43" s="13">
        <v>42.0</v>
      </c>
      <c r="B43" s="13" t="s">
        <v>493</v>
      </c>
    </row>
    <row r="44">
      <c r="A44" s="13">
        <v>43.0</v>
      </c>
      <c r="B44" s="13" t="s">
        <v>494</v>
      </c>
    </row>
    <row r="45">
      <c r="A45" s="13">
        <v>44.0</v>
      </c>
      <c r="B45" s="13" t="s">
        <v>495</v>
      </c>
    </row>
    <row r="46">
      <c r="A46" s="13">
        <v>45.0</v>
      </c>
      <c r="B46" s="13" t="s">
        <v>496</v>
      </c>
    </row>
    <row r="47">
      <c r="A47" s="13">
        <v>46.0</v>
      </c>
      <c r="B47" s="13" t="s">
        <v>497</v>
      </c>
    </row>
    <row r="48">
      <c r="A48" s="13">
        <v>47.0</v>
      </c>
      <c r="B48" s="13" t="s">
        <v>498</v>
      </c>
    </row>
    <row r="49">
      <c r="A49" s="13">
        <v>48.0</v>
      </c>
      <c r="B49" s="13" t="s">
        <v>499</v>
      </c>
    </row>
    <row r="50">
      <c r="A50" s="13">
        <v>49.0</v>
      </c>
      <c r="B50" s="14" t="s">
        <v>500</v>
      </c>
    </row>
    <row r="51">
      <c r="A51" s="13">
        <v>50.0</v>
      </c>
      <c r="B51" s="14" t="s">
        <v>501</v>
      </c>
    </row>
    <row r="52">
      <c r="A52" s="13">
        <v>51.0</v>
      </c>
      <c r="B52" s="14" t="s">
        <v>502</v>
      </c>
    </row>
    <row r="53">
      <c r="A53" s="13">
        <v>52.0</v>
      </c>
      <c r="B53" s="13" t="s">
        <v>503</v>
      </c>
    </row>
    <row r="54">
      <c r="A54" s="13">
        <v>53.0</v>
      </c>
      <c r="B54" s="13" t="s">
        <v>504</v>
      </c>
    </row>
    <row r="55">
      <c r="A55" s="13">
        <v>54.0</v>
      </c>
      <c r="B55" s="13" t="s">
        <v>505</v>
      </c>
    </row>
    <row r="56">
      <c r="A56" s="13">
        <v>55.0</v>
      </c>
      <c r="B56" s="13" t="s">
        <v>506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9.88"/>
    <col customWidth="1" min="2" max="2" width="39.63"/>
    <col hidden="1" min="3" max="3" width="12.63"/>
    <col customWidth="1" min="5" max="5" width="17.13"/>
    <col customWidth="1" min="6" max="6" width="21.5"/>
    <col customWidth="1" min="8" max="8" width="24.38"/>
    <col customWidth="1" min="9" max="9" width="13.63"/>
    <col customWidth="1" min="10" max="10" width="25.13"/>
    <col customWidth="1" min="11" max="11" width="30.13"/>
    <col customWidth="1" min="12" max="12" width="21.13"/>
    <col customWidth="1" min="13" max="13" width="18.88"/>
    <col customWidth="1" min="14" max="14" width="22.88"/>
    <col customWidth="1" min="15" max="15" width="26.5"/>
    <col customWidth="1" min="16" max="16" width="12.88"/>
    <col customWidth="1" min="17" max="17" width="24.5"/>
    <col customWidth="1" min="18" max="18" width="21.88"/>
  </cols>
  <sheetData>
    <row r="1">
      <c r="A1" s="33" t="s">
        <v>507</v>
      </c>
      <c r="B1" s="33" t="s">
        <v>508</v>
      </c>
      <c r="C1" s="33" t="s">
        <v>509</v>
      </c>
      <c r="D1" s="34" t="s">
        <v>510</v>
      </c>
      <c r="E1" s="33" t="s">
        <v>511</v>
      </c>
      <c r="F1" s="13" t="s">
        <v>488</v>
      </c>
      <c r="G1" s="13" t="s">
        <v>476</v>
      </c>
      <c r="H1" s="13" t="s">
        <v>486</v>
      </c>
      <c r="I1" s="13" t="s">
        <v>477</v>
      </c>
      <c r="J1" s="13" t="s">
        <v>478</v>
      </c>
      <c r="K1" s="13" t="s">
        <v>479</v>
      </c>
      <c r="L1" s="13" t="s">
        <v>487</v>
      </c>
      <c r="M1" s="13" t="s">
        <v>480</v>
      </c>
      <c r="N1" s="13" t="s">
        <v>481</v>
      </c>
      <c r="O1" s="13" t="s">
        <v>482</v>
      </c>
      <c r="P1" s="13" t="s">
        <v>483</v>
      </c>
      <c r="Q1" s="13" t="s">
        <v>484</v>
      </c>
      <c r="R1" s="13" t="s">
        <v>485</v>
      </c>
      <c r="S1" s="13" t="s">
        <v>451</v>
      </c>
      <c r="T1" s="13" t="s">
        <v>451</v>
      </c>
      <c r="U1" s="13" t="s">
        <v>451</v>
      </c>
      <c r="V1" s="13" t="s">
        <v>451</v>
      </c>
      <c r="W1" s="13" t="s">
        <v>451</v>
      </c>
      <c r="X1" s="13" t="s">
        <v>451</v>
      </c>
      <c r="Y1" s="13" t="s">
        <v>451</v>
      </c>
      <c r="Z1" s="13" t="s">
        <v>451</v>
      </c>
      <c r="AA1" s="13" t="s">
        <v>451</v>
      </c>
      <c r="AB1" s="13" t="s">
        <v>512</v>
      </c>
      <c r="AC1" s="13"/>
      <c r="AD1" s="13"/>
      <c r="AE1" s="13"/>
      <c r="AF1" s="13"/>
      <c r="AG1" s="13"/>
      <c r="AH1" s="13"/>
      <c r="AI1" s="13"/>
      <c r="AJ1" s="13"/>
      <c r="AK1" s="13"/>
    </row>
    <row r="2">
      <c r="A2" s="35">
        <f t="shared" ref="A2:A91" si="1">WEEKNUM(TODAY())</f>
        <v>17</v>
      </c>
      <c r="B2" s="35" t="str">
        <f>catalog!B2</f>
        <v>Nuez Mariposa Extra Light  x 1 Kg</v>
      </c>
      <c r="C2" s="35"/>
      <c r="D2" s="36">
        <f>catalog!E2</f>
        <v>20500</v>
      </c>
      <c r="E2" s="35" t="str">
        <f t="shared" ref="E2:E92" si="2">IF(sum(F2:AA2)&gt;=1,"SI", "NO")</f>
        <v>SI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0">
        <v>2.0</v>
      </c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>
        <f t="shared" ref="AB2:AB93" si="3">sum(F2:AA2)</f>
        <v>2</v>
      </c>
    </row>
    <row r="3">
      <c r="A3" s="35">
        <f t="shared" si="1"/>
        <v>17</v>
      </c>
      <c r="B3" s="35" t="str">
        <f>catalog!B3</f>
        <v>Almendra Non Pareil 27/30 x 1 Kg</v>
      </c>
      <c r="C3" s="35"/>
      <c r="D3" s="36">
        <f>catalog!E3</f>
        <v>23000</v>
      </c>
      <c r="E3" s="35" t="str">
        <f t="shared" si="2"/>
        <v>SI</v>
      </c>
      <c r="F3" s="35"/>
      <c r="G3" s="35"/>
      <c r="H3" s="35"/>
      <c r="I3" s="35"/>
      <c r="J3" s="30">
        <v>1.0</v>
      </c>
      <c r="K3" s="30">
        <v>1.0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>
        <f t="shared" si="3"/>
        <v>2</v>
      </c>
    </row>
    <row r="4">
      <c r="A4" s="35">
        <f t="shared" si="1"/>
        <v>17</v>
      </c>
      <c r="B4" s="35" t="str">
        <f>catalog!B4</f>
        <v>Mani tostado con y sin sal PREMIUM x 1 Kg</v>
      </c>
      <c r="C4" s="35"/>
      <c r="D4" s="36">
        <f>catalog!E4</f>
        <v>3000</v>
      </c>
      <c r="E4" s="35" t="str">
        <f t="shared" si="2"/>
        <v>SI</v>
      </c>
      <c r="F4" s="35"/>
      <c r="G4" s="35"/>
      <c r="H4" s="35"/>
      <c r="I4" s="35"/>
      <c r="J4" s="35"/>
      <c r="K4" s="35"/>
      <c r="L4" s="35"/>
      <c r="M4" s="35"/>
      <c r="N4" s="30">
        <v>1.0</v>
      </c>
      <c r="O4" s="35"/>
      <c r="P4" s="30">
        <v>1.0</v>
      </c>
      <c r="Q4" s="35"/>
      <c r="R4" s="30">
        <v>1.0</v>
      </c>
      <c r="S4" s="35"/>
      <c r="T4" s="35"/>
      <c r="U4" s="35"/>
      <c r="V4" s="35"/>
      <c r="W4" s="35"/>
      <c r="X4" s="35"/>
      <c r="Y4" s="35"/>
      <c r="Z4" s="35"/>
      <c r="AA4" s="35"/>
      <c r="AB4" s="35">
        <f t="shared" si="3"/>
        <v>3</v>
      </c>
    </row>
    <row r="5">
      <c r="A5" s="35">
        <f t="shared" si="1"/>
        <v>17</v>
      </c>
      <c r="B5" s="35" t="str">
        <f>#REF!</f>
        <v>#REF!</v>
      </c>
      <c r="C5" s="35"/>
      <c r="D5" s="36" t="str">
        <f>#REF!</f>
        <v>#REF!</v>
      </c>
      <c r="E5" s="35" t="str">
        <f t="shared" si="2"/>
        <v>SI</v>
      </c>
      <c r="F5" s="35"/>
      <c r="G5" s="35"/>
      <c r="H5" s="35"/>
      <c r="I5" s="35"/>
      <c r="J5" s="30">
        <v>1.0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>
        <f t="shared" si="3"/>
        <v>1</v>
      </c>
    </row>
    <row r="6">
      <c r="A6" s="35">
        <f t="shared" si="1"/>
        <v>17</v>
      </c>
      <c r="B6" s="35" t="str">
        <f>catalog!B5</f>
        <v>Nuez Pecan x 1 Kg</v>
      </c>
      <c r="C6" s="35"/>
      <c r="D6" s="36">
        <f>catalog!E5</f>
        <v>34600</v>
      </c>
      <c r="E6" s="35" t="str">
        <f t="shared" si="2"/>
        <v>NO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>
        <f t="shared" si="3"/>
        <v>0</v>
      </c>
    </row>
    <row r="7">
      <c r="A7" s="35">
        <f t="shared" si="1"/>
        <v>17</v>
      </c>
      <c r="B7" s="35" t="str">
        <f>catalog!B6</f>
        <v>Cajú W4 brasilero x 1 Kg</v>
      </c>
      <c r="C7" s="35"/>
      <c r="D7" s="36">
        <f>catalog!E6</f>
        <v>19500</v>
      </c>
      <c r="E7" s="35" t="str">
        <f t="shared" si="2"/>
        <v>SI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0">
        <v>2.0</v>
      </c>
      <c r="Q7" s="35"/>
      <c r="R7" s="30">
        <v>1.0</v>
      </c>
      <c r="S7" s="35"/>
      <c r="T7" s="35"/>
      <c r="U7" s="35"/>
      <c r="V7" s="35"/>
      <c r="W7" s="35"/>
      <c r="X7" s="35"/>
      <c r="Y7" s="35"/>
      <c r="Z7" s="35"/>
      <c r="AA7" s="35"/>
      <c r="AB7" s="35">
        <f t="shared" si="3"/>
        <v>3</v>
      </c>
    </row>
    <row r="8">
      <c r="A8" s="35">
        <f t="shared" si="1"/>
        <v>17</v>
      </c>
      <c r="B8" s="35" t="str">
        <f>catalog!B8</f>
        <v>Castañas de PARA x 1 Kg</v>
      </c>
      <c r="C8" s="35"/>
      <c r="D8" s="36">
        <f>catalog!E8</f>
        <v>40200</v>
      </c>
      <c r="E8" s="35" t="str">
        <f t="shared" si="2"/>
        <v>SI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0">
        <v>1.0</v>
      </c>
      <c r="S8" s="35"/>
      <c r="T8" s="35"/>
      <c r="U8" s="35"/>
      <c r="V8" s="35"/>
      <c r="W8" s="35"/>
      <c r="X8" s="35"/>
      <c r="Y8" s="35"/>
      <c r="Z8" s="35"/>
      <c r="AA8" s="35"/>
      <c r="AB8" s="35">
        <f t="shared" si="3"/>
        <v>1</v>
      </c>
    </row>
    <row r="9">
      <c r="A9" s="35">
        <f t="shared" si="1"/>
        <v>17</v>
      </c>
      <c r="B9" s="35" t="str">
        <f>catalog!B9</f>
        <v>Avellanas grandes  x 1 Kg</v>
      </c>
      <c r="C9" s="35"/>
      <c r="D9" s="36">
        <f>catalog!E9</f>
        <v>33200</v>
      </c>
      <c r="E9" s="35" t="str">
        <f t="shared" si="2"/>
        <v>NO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>
        <f t="shared" si="3"/>
        <v>0</v>
      </c>
    </row>
    <row r="10">
      <c r="A10" s="35">
        <f t="shared" si="1"/>
        <v>17</v>
      </c>
      <c r="B10" s="35" t="str">
        <f>#REF!</f>
        <v>#REF!</v>
      </c>
      <c r="C10" s="35"/>
      <c r="D10" s="36" t="str">
        <f>#REF!</f>
        <v>#REF!</v>
      </c>
      <c r="E10" s="35" t="str">
        <f t="shared" si="2"/>
        <v>NO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>
        <f t="shared" si="3"/>
        <v>0</v>
      </c>
    </row>
    <row r="11">
      <c r="A11" s="35">
        <f t="shared" si="1"/>
        <v>17</v>
      </c>
      <c r="B11" s="35" t="str">
        <f>catalog!B10</f>
        <v>Pasas Rubia  1kg</v>
      </c>
      <c r="C11" s="35"/>
      <c r="D11" s="36">
        <f>catalog!E10</f>
        <v>8200</v>
      </c>
      <c r="E11" s="35" t="str">
        <f t="shared" si="2"/>
        <v>NO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>
        <f t="shared" si="3"/>
        <v>0</v>
      </c>
    </row>
    <row r="12">
      <c r="A12" s="35">
        <f t="shared" si="1"/>
        <v>17</v>
      </c>
      <c r="B12" s="35" t="str">
        <f>catalog!B11</f>
        <v>Pistacho salado con cascara x 1 Kg</v>
      </c>
      <c r="C12" s="35"/>
      <c r="D12" s="36">
        <f>catalog!E11</f>
        <v>41000</v>
      </c>
      <c r="E12" s="35" t="str">
        <f t="shared" si="2"/>
        <v>NO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>
        <f t="shared" si="3"/>
        <v>0</v>
      </c>
    </row>
    <row r="13">
      <c r="A13" s="35">
        <f t="shared" si="1"/>
        <v>17</v>
      </c>
      <c r="B13" s="35" t="str">
        <f>catalog!B13</f>
        <v>Mix criollo o Runner (Nuez cuartos , almendra, cajú, mani, pasas rubias y morochas) x 1kg</v>
      </c>
      <c r="C13" s="35"/>
      <c r="D13" s="36">
        <f>catalog!E13</f>
        <v>8200</v>
      </c>
      <c r="E13" s="35" t="str">
        <f t="shared" si="2"/>
        <v>SI</v>
      </c>
      <c r="F13" s="35"/>
      <c r="G13" s="35"/>
      <c r="H13" s="30">
        <v>1.0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>
        <f t="shared" si="3"/>
        <v>1</v>
      </c>
    </row>
    <row r="14">
      <c r="A14" s="35">
        <f t="shared" si="1"/>
        <v>17</v>
      </c>
      <c r="B14" s="35" t="str">
        <f>catalog!B15</f>
        <v>Mix premium gourmet  (Cajú, almendras, nueces y avellanas) x 1kg</v>
      </c>
      <c r="C14" s="35"/>
      <c r="D14" s="36">
        <f>catalog!E15</f>
        <v>23000</v>
      </c>
      <c r="E14" s="35" t="str">
        <f t="shared" si="2"/>
        <v>SI</v>
      </c>
      <c r="F14" s="35"/>
      <c r="G14" s="30">
        <v>1.0</v>
      </c>
      <c r="H14" s="35"/>
      <c r="I14" s="35"/>
      <c r="J14" s="35"/>
      <c r="K14" s="35"/>
      <c r="L14" s="30">
        <v>1.0</v>
      </c>
      <c r="M14" s="35"/>
      <c r="N14" s="35"/>
      <c r="O14" s="35"/>
      <c r="P14" s="30">
        <v>3.0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>
        <f t="shared" si="3"/>
        <v>5</v>
      </c>
    </row>
    <row r="15">
      <c r="A15" s="35">
        <f t="shared" si="1"/>
        <v>17</v>
      </c>
      <c r="B15" s="35" t="str">
        <f>catalog!B17</f>
        <v>Mix criollo o runner con bananitas (Cajú, almendras, nueces, mani, pasas rubias y morochas, bananitas)</v>
      </c>
      <c r="C15" s="35"/>
      <c r="D15" s="36">
        <f>catalog!E17</f>
        <v>8400</v>
      </c>
      <c r="E15" s="35" t="str">
        <f t="shared" si="2"/>
        <v>SI</v>
      </c>
      <c r="F15" s="35"/>
      <c r="G15" s="35"/>
      <c r="H15" s="35"/>
      <c r="I15" s="30">
        <v>1.0</v>
      </c>
      <c r="J15" s="35"/>
      <c r="K15" s="35"/>
      <c r="L15" s="35"/>
      <c r="M15" s="35"/>
      <c r="N15" s="35"/>
      <c r="O15" s="35"/>
      <c r="P15" s="35"/>
      <c r="Q15" s="30">
        <v>1.0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>
        <f t="shared" si="3"/>
        <v>2</v>
      </c>
    </row>
    <row r="16">
      <c r="A16" s="35">
        <f t="shared" si="1"/>
        <v>17</v>
      </c>
      <c r="B16" s="35" t="str">
        <f>catalog!B18</f>
        <v>Mix cervecero (semillas peladas de girasol y de zapallo, castañas de cajú saladas, maní salado, maní japonés) 1kg</v>
      </c>
      <c r="C16" s="35"/>
      <c r="D16" s="36">
        <f>catalog!E18</f>
        <v>6300</v>
      </c>
      <c r="E16" s="35" t="str">
        <f t="shared" si="2"/>
        <v>SI</v>
      </c>
      <c r="F16" s="35"/>
      <c r="G16" s="35"/>
      <c r="H16" s="30">
        <v>1.0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>
        <f t="shared" si="3"/>
        <v>1</v>
      </c>
    </row>
    <row r="17">
      <c r="A17" s="35">
        <f t="shared" si="1"/>
        <v>17</v>
      </c>
      <c r="B17" s="35" t="str">
        <f>catalog!B21</f>
        <v>Bananas disecadas x 1kg</v>
      </c>
      <c r="C17" s="35"/>
      <c r="D17" s="36">
        <f>catalog!E21</f>
        <v>12000</v>
      </c>
      <c r="E17" s="35" t="str">
        <f t="shared" si="2"/>
        <v>NO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>
        <f t="shared" si="3"/>
        <v>0</v>
      </c>
    </row>
    <row r="18">
      <c r="A18" s="35">
        <f t="shared" si="1"/>
        <v>17</v>
      </c>
      <c r="B18" s="35" t="str">
        <f>catalog!B22</f>
        <v>Damasco turco grande x 1kg</v>
      </c>
      <c r="C18" s="35"/>
      <c r="D18" s="36">
        <f>catalog!E22</f>
        <v>42000</v>
      </c>
      <c r="E18" s="35" t="str">
        <f t="shared" si="2"/>
        <v>NO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>
        <f t="shared" si="3"/>
        <v>0</v>
      </c>
    </row>
    <row r="19">
      <c r="A19" s="35">
        <f t="shared" si="1"/>
        <v>17</v>
      </c>
      <c r="B19" s="35" t="str">
        <f>catalog!B23</f>
        <v>Tomates deshidratados x 1kg</v>
      </c>
      <c r="C19" s="35"/>
      <c r="D19" s="36">
        <f>catalog!E23</f>
        <v>15600</v>
      </c>
      <c r="E19" s="35" t="str">
        <f t="shared" si="2"/>
        <v>NO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>
        <f t="shared" si="3"/>
        <v>0</v>
      </c>
    </row>
    <row r="20">
      <c r="A20" s="35">
        <f t="shared" si="1"/>
        <v>17</v>
      </c>
      <c r="B20" s="35" t="str">
        <f>catalog!B26</f>
        <v>Ciruelas d Agen sin carozo  x 1kg</v>
      </c>
      <c r="C20" s="35"/>
      <c r="D20" s="36">
        <f>catalog!E26</f>
        <v>7500</v>
      </c>
      <c r="E20" s="35" t="str">
        <f t="shared" si="2"/>
        <v>SI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0">
        <v>1.0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>
        <f t="shared" si="3"/>
        <v>1</v>
      </c>
    </row>
    <row r="21">
      <c r="A21" s="35">
        <f t="shared" si="1"/>
        <v>17</v>
      </c>
      <c r="B21" s="35" t="str">
        <f>catalog!B27</f>
        <v>Arandanos</v>
      </c>
      <c r="C21" s="35"/>
      <c r="D21" s="36">
        <f>catalog!E27</f>
        <v>13500</v>
      </c>
      <c r="E21" s="35" t="str">
        <f t="shared" si="2"/>
        <v>SI</v>
      </c>
      <c r="F21" s="30">
        <v>2.0</v>
      </c>
      <c r="G21" s="35"/>
      <c r="H21" s="35"/>
      <c r="I21" s="35"/>
      <c r="J21" s="35"/>
      <c r="K21" s="35"/>
      <c r="L21" s="35"/>
      <c r="M21" s="35"/>
      <c r="N21" s="35"/>
      <c r="O21" s="35"/>
      <c r="P21" s="30">
        <v>1.0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>
        <f t="shared" si="3"/>
        <v>3</v>
      </c>
    </row>
    <row r="22">
      <c r="A22" s="35">
        <f t="shared" si="1"/>
        <v>17</v>
      </c>
      <c r="B22" s="35" t="str">
        <f>catalog!B28</f>
        <v>Higos negros x 5kg</v>
      </c>
      <c r="C22" s="35"/>
      <c r="D22" s="36">
        <f>catalog!E28</f>
        <v>47000</v>
      </c>
      <c r="E22" s="35" t="str">
        <f t="shared" si="2"/>
        <v>NO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>
        <f t="shared" si="3"/>
        <v>0</v>
      </c>
    </row>
    <row r="23">
      <c r="A23" s="35">
        <f t="shared" si="1"/>
        <v>17</v>
      </c>
      <c r="B23" s="35" t="str">
        <f>catalog!B29</f>
        <v>Datiles Egipto Caja 1 kg OFERTA</v>
      </c>
      <c r="C23" s="35"/>
      <c r="D23" s="36">
        <f>catalog!E29</f>
        <v>8000</v>
      </c>
      <c r="E23" s="35" t="str">
        <f t="shared" si="2"/>
        <v>SI</v>
      </c>
      <c r="F23" s="35"/>
      <c r="G23" s="35"/>
      <c r="H23" s="35"/>
      <c r="I23" s="35"/>
      <c r="J23" s="35"/>
      <c r="K23" s="35"/>
      <c r="L23" s="35"/>
      <c r="M23" s="30">
        <v>0.5</v>
      </c>
      <c r="N23" s="35"/>
      <c r="O23" s="35"/>
      <c r="P23" s="35"/>
      <c r="Q23" s="35"/>
      <c r="R23" s="30">
        <v>0.5</v>
      </c>
      <c r="S23" s="35"/>
      <c r="T23" s="35"/>
      <c r="U23" s="35"/>
      <c r="V23" s="35"/>
      <c r="W23" s="35"/>
      <c r="X23" s="35"/>
      <c r="Y23" s="35"/>
      <c r="Z23" s="35"/>
      <c r="AA23" s="35"/>
      <c r="AB23" s="35">
        <f t="shared" si="3"/>
        <v>1</v>
      </c>
    </row>
    <row r="24">
      <c r="A24" s="35">
        <f t="shared" si="1"/>
        <v>17</v>
      </c>
      <c r="B24" s="35" t="str">
        <f>#REF!</f>
        <v>#REF!</v>
      </c>
      <c r="C24" s="35"/>
      <c r="D24" s="36" t="str">
        <f>#REF!</f>
        <v>#REF!</v>
      </c>
      <c r="E24" s="35" t="str">
        <f t="shared" si="2"/>
        <v>NO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>
        <f t="shared" si="3"/>
        <v>0</v>
      </c>
    </row>
    <row r="25">
      <c r="A25" s="35">
        <f t="shared" si="1"/>
        <v>17</v>
      </c>
      <c r="B25" s="35" t="str">
        <f>catalog!B31</f>
        <v>Mix de semillas  (Lino,  girasol, sésamo) x 1kg</v>
      </c>
      <c r="C25" s="35"/>
      <c r="D25" s="36">
        <f>catalog!E31</f>
        <v>4000</v>
      </c>
      <c r="E25" s="35" t="str">
        <f t="shared" si="2"/>
        <v>SI</v>
      </c>
      <c r="F25" s="35"/>
      <c r="G25" s="35"/>
      <c r="H25" s="35"/>
      <c r="I25" s="30">
        <v>1.0</v>
      </c>
      <c r="J25" s="35"/>
      <c r="K25" s="35"/>
      <c r="L25" s="35"/>
      <c r="M25" s="35"/>
      <c r="N25" s="35"/>
      <c r="O25" s="35"/>
      <c r="P25" s="35"/>
      <c r="Q25" s="30">
        <v>1.0</v>
      </c>
      <c r="R25" s="30">
        <v>1.0</v>
      </c>
      <c r="S25" s="35"/>
      <c r="T25" s="35"/>
      <c r="U25" s="35"/>
      <c r="V25" s="35"/>
      <c r="W25" s="35"/>
      <c r="X25" s="35"/>
      <c r="Y25" s="35"/>
      <c r="Z25" s="35"/>
      <c r="AA25" s="35"/>
      <c r="AB25" s="35">
        <f t="shared" si="3"/>
        <v>3</v>
      </c>
    </row>
    <row r="26">
      <c r="A26" s="35">
        <f t="shared" si="1"/>
        <v>17</v>
      </c>
      <c r="B26" s="35" t="str">
        <f>catalog!B32</f>
        <v>Lino x 1Kg</v>
      </c>
      <c r="C26" s="35"/>
      <c r="D26" s="36">
        <f>catalog!E32</f>
        <v>3300</v>
      </c>
      <c r="E26" s="35" t="str">
        <f t="shared" si="2"/>
        <v>NO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>
        <f t="shared" si="3"/>
        <v>0</v>
      </c>
    </row>
    <row r="27">
      <c r="A27" s="35">
        <f t="shared" si="1"/>
        <v>17</v>
      </c>
      <c r="B27" s="35" t="str">
        <f>catalog!B33</f>
        <v>Chia premium x 1Kg</v>
      </c>
      <c r="C27" s="35"/>
      <c r="D27" s="36">
        <f>catalog!E33</f>
        <v>8700</v>
      </c>
      <c r="E27" s="35" t="str">
        <f t="shared" si="2"/>
        <v>NO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>
        <f t="shared" si="3"/>
        <v>0</v>
      </c>
    </row>
    <row r="28">
      <c r="A28" s="35">
        <f t="shared" si="1"/>
        <v>17</v>
      </c>
      <c r="B28" s="35" t="str">
        <f>catalog!B34</f>
        <v>Sésamo integral x 1Kg</v>
      </c>
      <c r="C28" s="35"/>
      <c r="D28" s="36">
        <f>catalog!E34</f>
        <v>5800</v>
      </c>
      <c r="E28" s="35" t="str">
        <f t="shared" si="2"/>
        <v>NO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>
        <f t="shared" si="3"/>
        <v>0</v>
      </c>
    </row>
    <row r="29">
      <c r="A29" s="35">
        <f t="shared" si="1"/>
        <v>17</v>
      </c>
      <c r="B29" s="35" t="str">
        <f>catalog!B35</f>
        <v>Sesamo blanco x 1Kg</v>
      </c>
      <c r="C29" s="35"/>
      <c r="D29" s="36">
        <f>catalog!E35</f>
        <v>10000</v>
      </c>
      <c r="E29" s="35" t="str">
        <f t="shared" si="2"/>
        <v>NO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>
        <f t="shared" si="3"/>
        <v>0</v>
      </c>
    </row>
    <row r="30">
      <c r="A30" s="35">
        <f t="shared" si="1"/>
        <v>17</v>
      </c>
      <c r="B30" s="35" t="str">
        <f>catalog!B36</f>
        <v>Girasol x 1Kg</v>
      </c>
      <c r="C30" s="35"/>
      <c r="D30" s="36">
        <f>catalog!E36</f>
        <v>4100</v>
      </c>
      <c r="E30" s="35" t="str">
        <f t="shared" si="2"/>
        <v>SI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0">
        <v>2.0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>
        <f t="shared" si="3"/>
        <v>2</v>
      </c>
    </row>
    <row r="31">
      <c r="A31" s="35">
        <f t="shared" si="1"/>
        <v>17</v>
      </c>
      <c r="B31" s="35" t="str">
        <f>catalog!B37</f>
        <v>Quinoa x 1Kg</v>
      </c>
      <c r="C31" s="35"/>
      <c r="D31" s="36">
        <f>catalog!E37</f>
        <v>12400</v>
      </c>
      <c r="E31" s="35" t="str">
        <f t="shared" si="2"/>
        <v>SI</v>
      </c>
      <c r="F31" s="30">
        <v>1.0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>
        <f t="shared" si="3"/>
        <v>1</v>
      </c>
    </row>
    <row r="32">
      <c r="A32" s="35">
        <f t="shared" si="1"/>
        <v>17</v>
      </c>
      <c r="B32" s="35" t="str">
        <f>catalog!B38</f>
        <v>Zapallo x 1Kg</v>
      </c>
      <c r="C32" s="35"/>
      <c r="D32" s="36">
        <f>catalog!E38</f>
        <v>14000</v>
      </c>
      <c r="E32" s="35" t="str">
        <f t="shared" si="2"/>
        <v>SI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0">
        <v>1.0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>
        <f t="shared" si="3"/>
        <v>1</v>
      </c>
    </row>
    <row r="33">
      <c r="A33" s="35">
        <f t="shared" si="1"/>
        <v>17</v>
      </c>
      <c r="B33" s="35" t="str">
        <f>catalog!B40</f>
        <v/>
      </c>
      <c r="C33" s="35"/>
      <c r="D33" s="36" t="str">
        <f>catalog!E40</f>
        <v/>
      </c>
      <c r="E33" s="35" t="str">
        <f t="shared" si="2"/>
        <v>NO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>
        <f t="shared" si="3"/>
        <v>0</v>
      </c>
    </row>
    <row r="34">
      <c r="A34" s="35">
        <f t="shared" si="1"/>
        <v>17</v>
      </c>
      <c r="B34" s="35" t="str">
        <f>catalog!B41</f>
        <v>Harina de coco  x 1Kg</v>
      </c>
      <c r="C34" s="35"/>
      <c r="D34" s="36">
        <f>catalog!E41</f>
        <v>5800</v>
      </c>
      <c r="E34" s="35" t="str">
        <f t="shared" si="2"/>
        <v>SI</v>
      </c>
      <c r="F34" s="30">
        <v>2.0</v>
      </c>
      <c r="G34" s="35"/>
      <c r="H34" s="35"/>
      <c r="I34" s="35"/>
      <c r="J34" s="35"/>
      <c r="K34" s="35"/>
      <c r="L34" s="35"/>
      <c r="M34" s="35"/>
      <c r="N34" s="35"/>
      <c r="O34" s="30">
        <v>1.0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>
        <f t="shared" si="3"/>
        <v>3</v>
      </c>
    </row>
    <row r="35">
      <c r="A35" s="35">
        <f t="shared" si="1"/>
        <v>17</v>
      </c>
      <c r="B35" s="35" t="str">
        <f>catalog!B43</f>
        <v>Harina de almendras  con piel- OFERTA  x 1Kg</v>
      </c>
      <c r="C35" s="35"/>
      <c r="D35" s="36">
        <f>catalog!E43</f>
        <v>4300</v>
      </c>
      <c r="E35" s="35" t="str">
        <f t="shared" si="2"/>
        <v>SI</v>
      </c>
      <c r="F35" s="35"/>
      <c r="G35" s="35"/>
      <c r="H35" s="30">
        <v>1.0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>
        <f t="shared" si="3"/>
        <v>1</v>
      </c>
    </row>
    <row r="36">
      <c r="A36" s="35">
        <f t="shared" si="1"/>
        <v>17</v>
      </c>
      <c r="B36" s="35" t="str">
        <f>catalog!B44</f>
        <v>Harina de almendras sin piel- OFERTA  x 1Kg</v>
      </c>
      <c r="C36" s="35"/>
      <c r="D36" s="36">
        <f>catalog!E44</f>
        <v>4600</v>
      </c>
      <c r="E36" s="35" t="str">
        <f t="shared" si="2"/>
        <v>SI</v>
      </c>
      <c r="F36" s="35"/>
      <c r="G36" s="35"/>
      <c r="H36" s="35"/>
      <c r="I36" s="35"/>
      <c r="J36" s="35"/>
      <c r="K36" s="35"/>
      <c r="L36" s="35"/>
      <c r="M36" s="35"/>
      <c r="N36" s="35"/>
      <c r="O36" s="30">
        <v>2.0</v>
      </c>
      <c r="P36" s="35"/>
      <c r="Q36" s="30">
        <v>1.0</v>
      </c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>
        <f t="shared" si="3"/>
        <v>3</v>
      </c>
    </row>
    <row r="37">
      <c r="A37" s="35">
        <f t="shared" si="1"/>
        <v>17</v>
      </c>
      <c r="B37" s="35" t="str">
        <f>catalog!B45</f>
        <v/>
      </c>
      <c r="C37" s="35"/>
      <c r="D37" s="36" t="str">
        <f>catalog!E45</f>
        <v/>
      </c>
      <c r="E37" s="35" t="str">
        <f t="shared" si="2"/>
        <v>NO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>
        <f t="shared" si="3"/>
        <v>0</v>
      </c>
    </row>
    <row r="38">
      <c r="A38" s="35">
        <f t="shared" si="1"/>
        <v>17</v>
      </c>
      <c r="B38" s="35" t="str">
        <f>catalog!B46</f>
        <v/>
      </c>
      <c r="C38" s="35"/>
      <c r="D38" s="36" t="str">
        <f>catalog!E46</f>
        <v/>
      </c>
      <c r="E38" s="35" t="str">
        <f t="shared" si="2"/>
        <v>NO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>
        <f t="shared" si="3"/>
        <v>0</v>
      </c>
    </row>
    <row r="39">
      <c r="A39" s="35">
        <f t="shared" si="1"/>
        <v>17</v>
      </c>
      <c r="B39" s="35" t="str">
        <f>catalog!B47</f>
        <v>Fécula de mandioca x 5Kg</v>
      </c>
      <c r="C39" s="35"/>
      <c r="D39" s="36">
        <f>catalog!E47</f>
        <v>11000</v>
      </c>
      <c r="E39" s="35" t="str">
        <f t="shared" si="2"/>
        <v>NO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>
        <f t="shared" si="3"/>
        <v>0</v>
      </c>
    </row>
    <row r="40">
      <c r="A40" s="35">
        <f t="shared" si="1"/>
        <v>17</v>
      </c>
      <c r="B40" s="35" t="str">
        <f>catalog!B48</f>
        <v>Harina de arroz x 5Kg</v>
      </c>
      <c r="C40" s="35"/>
      <c r="D40" s="36">
        <f>catalog!E48</f>
        <v>7500</v>
      </c>
      <c r="E40" s="35" t="str">
        <f t="shared" si="2"/>
        <v>NO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>
        <f t="shared" si="3"/>
        <v>0</v>
      </c>
    </row>
    <row r="41">
      <c r="A41" s="35">
        <f t="shared" si="1"/>
        <v>17</v>
      </c>
      <c r="B41" s="35" t="str">
        <f>catalog!B49</f>
        <v>Harina de algarroba x 1Kg MAYANA SIN TACC</v>
      </c>
      <c r="C41" s="35"/>
      <c r="D41" s="36">
        <f>catalog!E49</f>
        <v>7000</v>
      </c>
      <c r="E41" s="35" t="str">
        <f t="shared" si="2"/>
        <v>SI</v>
      </c>
      <c r="F41" s="35"/>
      <c r="G41" s="35"/>
      <c r="H41" s="35"/>
      <c r="I41" s="35"/>
      <c r="J41" s="35"/>
      <c r="K41" s="35"/>
      <c r="L41" s="35"/>
      <c r="M41" s="35"/>
      <c r="N41" s="35"/>
      <c r="O41" s="30">
        <v>1.0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>
        <f t="shared" si="3"/>
        <v>1</v>
      </c>
    </row>
    <row r="42">
      <c r="A42" s="35">
        <f t="shared" si="1"/>
        <v>17</v>
      </c>
      <c r="B42" s="35" t="str">
        <f>#REF!</f>
        <v>#REF!</v>
      </c>
      <c r="C42" s="35"/>
      <c r="D42" s="36" t="str">
        <f>#REF!</f>
        <v>#REF!</v>
      </c>
      <c r="E42" s="35" t="str">
        <f t="shared" si="2"/>
        <v>NO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>
        <f t="shared" si="3"/>
        <v>0</v>
      </c>
    </row>
    <row r="43">
      <c r="A43" s="35">
        <f t="shared" si="1"/>
        <v>17</v>
      </c>
      <c r="B43" s="35" t="str">
        <f>catalog!B50</f>
        <v>Kalena Roja Elaborada con palo</v>
      </c>
      <c r="C43" s="35"/>
      <c r="D43" s="36">
        <f>catalog!E50</f>
        <v>4200</v>
      </c>
      <c r="E43" s="35" t="str">
        <f t="shared" si="2"/>
        <v>NO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>
        <f t="shared" si="3"/>
        <v>0</v>
      </c>
    </row>
    <row r="44">
      <c r="A44" s="35">
        <f t="shared" si="1"/>
        <v>17</v>
      </c>
      <c r="B44" s="35" t="str">
        <f>catalog!B51</f>
        <v>Kalena Celeste Elaborada sin palo</v>
      </c>
      <c r="C44" s="35"/>
      <c r="D44" s="36">
        <f>catalog!E51</f>
        <v>5000</v>
      </c>
      <c r="E44" s="35" t="str">
        <f t="shared" si="2"/>
        <v>SI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0">
        <v>2.0</v>
      </c>
      <c r="S44" s="35"/>
      <c r="T44" s="35"/>
      <c r="U44" s="35"/>
      <c r="V44" s="35"/>
      <c r="W44" s="35"/>
      <c r="X44" s="35"/>
      <c r="Y44" s="35"/>
      <c r="Z44" s="35"/>
      <c r="AA44" s="35"/>
      <c r="AB44" s="35">
        <f t="shared" si="3"/>
        <v>2</v>
      </c>
    </row>
    <row r="45">
      <c r="A45" s="35">
        <f t="shared" si="1"/>
        <v>17</v>
      </c>
      <c r="B45" s="35" t="str">
        <f>catalog!B52</f>
        <v>YERBA ROAPIPO SUAVE / TRADICIONAL 500gr Unidad</v>
      </c>
      <c r="C45" s="35"/>
      <c r="D45" s="36">
        <f>catalog!E52</f>
        <v>3400</v>
      </c>
      <c r="E45" s="35" t="str">
        <f t="shared" si="2"/>
        <v>NO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>
        <f t="shared" si="3"/>
        <v>0</v>
      </c>
    </row>
    <row r="46">
      <c r="A46" s="35">
        <f t="shared" si="1"/>
        <v>17</v>
      </c>
      <c r="B46" s="35" t="str">
        <f>catalog!B53</f>
        <v>YERBA ROAPIPO SUAVE / TRADICIONAL  1 kgUnidad</v>
      </c>
      <c r="C46" s="35"/>
      <c r="D46" s="36">
        <f>catalog!E53</f>
        <v>6500</v>
      </c>
      <c r="E46" s="35" t="str">
        <f t="shared" si="2"/>
        <v>SI</v>
      </c>
      <c r="F46" s="30">
        <v>1.0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>
        <f t="shared" si="3"/>
        <v>1</v>
      </c>
    </row>
    <row r="47">
      <c r="A47" s="35">
        <f t="shared" si="1"/>
        <v>17</v>
      </c>
      <c r="B47" s="35" t="str">
        <f>catalog!B59</f>
        <v>Mermelada Los Carolinos  Ciruela/Naranja/Zapallo/Durazno/Tomate/Higo</v>
      </c>
      <c r="C47" s="35"/>
      <c r="D47" s="36">
        <f>catalog!E59</f>
        <v>3100</v>
      </c>
      <c r="E47" s="35" t="str">
        <f t="shared" si="2"/>
        <v>NO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>
        <f t="shared" si="3"/>
        <v>0</v>
      </c>
    </row>
    <row r="48">
      <c r="A48" s="35">
        <f t="shared" si="1"/>
        <v>17</v>
      </c>
      <c r="B48" s="35" t="str">
        <f>catalog!B60</f>
        <v>Mermelada  Frutilla/Frutos Rojos/Arandanos</v>
      </c>
      <c r="C48" s="35"/>
      <c r="D48" s="36">
        <f>catalog!E60</f>
        <v>3500</v>
      </c>
      <c r="E48" s="35" t="str">
        <f t="shared" si="2"/>
        <v>NO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>
        <f t="shared" si="3"/>
        <v>0</v>
      </c>
    </row>
    <row r="49">
      <c r="A49" s="35">
        <f t="shared" si="1"/>
        <v>17</v>
      </c>
      <c r="B49" s="35" t="str">
        <f>catalog!B81</f>
        <v>Pasta de Mani Entrenuts Natural/Crocante</v>
      </c>
      <c r="C49" s="35"/>
      <c r="D49" s="36">
        <f>catalog!E81</f>
        <v>2600</v>
      </c>
      <c r="E49" s="35" t="str">
        <f t="shared" si="2"/>
        <v>NO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>
        <f t="shared" si="3"/>
        <v>0</v>
      </c>
    </row>
    <row r="50">
      <c r="A50" s="35">
        <f t="shared" si="1"/>
        <v>17</v>
      </c>
      <c r="B50" s="35" t="str">
        <f>catalog!B83</f>
        <v>Aceite de Oliva Sol Cuyano 500ml</v>
      </c>
      <c r="C50" s="35"/>
      <c r="D50" s="36">
        <f>catalog!E83</f>
        <v>11000</v>
      </c>
      <c r="E50" s="35" t="str">
        <f t="shared" si="2"/>
        <v>NO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>
        <f t="shared" si="3"/>
        <v>0</v>
      </c>
    </row>
    <row r="51">
      <c r="A51" s="35">
        <f t="shared" si="1"/>
        <v>17</v>
      </c>
      <c r="B51" s="35" t="str">
        <f>catalog!B87</f>
        <v>Aceite de Coco Entrenuts x 360cc Neutro</v>
      </c>
      <c r="C51" s="35"/>
      <c r="D51" s="36">
        <f>catalog!E87</f>
        <v>5800</v>
      </c>
      <c r="E51" s="35" t="str">
        <f t="shared" si="2"/>
        <v>SI</v>
      </c>
      <c r="F51" s="35"/>
      <c r="G51" s="35"/>
      <c r="H51" s="35"/>
      <c r="I51" s="30">
        <v>1.0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>
        <f t="shared" si="3"/>
        <v>1</v>
      </c>
    </row>
    <row r="52">
      <c r="A52" s="35">
        <f t="shared" si="1"/>
        <v>17</v>
      </c>
      <c r="B52" s="35" t="str">
        <f>catalog!B88</f>
        <v>Aceite de Coco Entrenuts x 360cc Virgen</v>
      </c>
      <c r="C52" s="35"/>
      <c r="D52" s="36">
        <f>catalog!E88</f>
        <v>10000</v>
      </c>
      <c r="E52" s="35" t="str">
        <f t="shared" si="2"/>
        <v>NO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>
        <f t="shared" si="3"/>
        <v>0</v>
      </c>
    </row>
    <row r="53">
      <c r="A53" s="35">
        <f t="shared" si="1"/>
        <v>17</v>
      </c>
      <c r="B53" s="35" t="str">
        <f>catalog!B89</f>
        <v>Aceite de Coco Entrenuts x 200cc Neutro</v>
      </c>
      <c r="C53" s="35"/>
      <c r="D53" s="36">
        <f>catalog!E89</f>
        <v>4000</v>
      </c>
      <c r="E53" s="35" t="str">
        <f t="shared" si="2"/>
        <v>SI</v>
      </c>
      <c r="F53" s="35"/>
      <c r="G53" s="35"/>
      <c r="H53" s="35"/>
      <c r="I53" s="35"/>
      <c r="J53" s="35"/>
      <c r="K53" s="35"/>
      <c r="L53" s="35"/>
      <c r="M53" s="35"/>
      <c r="N53" s="30">
        <v>1.0</v>
      </c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>
        <f t="shared" si="3"/>
        <v>1</v>
      </c>
    </row>
    <row r="54">
      <c r="A54" s="35">
        <f t="shared" si="1"/>
        <v>17</v>
      </c>
      <c r="B54" s="35" t="str">
        <f>catalog!B90</f>
        <v>Aceite de Coco Entrenuts x 200cc Virgen</v>
      </c>
      <c r="C54" s="35"/>
      <c r="D54" s="36">
        <f>catalog!E90</f>
        <v>6200</v>
      </c>
      <c r="E54" s="35" t="str">
        <f t="shared" si="2"/>
        <v>NO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>
        <f t="shared" si="3"/>
        <v>0</v>
      </c>
    </row>
    <row r="55">
      <c r="A55" s="35">
        <f t="shared" si="1"/>
        <v>17</v>
      </c>
      <c r="B55" s="35" t="str">
        <f>catalog!B94</f>
        <v>Manteca clarificada Ghee Entrenetus</v>
      </c>
      <c r="C55" s="35"/>
      <c r="D55" s="36">
        <f>catalog!E94</f>
        <v>10000</v>
      </c>
      <c r="E55" s="35" t="str">
        <f t="shared" si="2"/>
        <v>NO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>
        <f t="shared" si="3"/>
        <v>0</v>
      </c>
    </row>
    <row r="56">
      <c r="A56" s="35">
        <f t="shared" si="1"/>
        <v>17</v>
      </c>
      <c r="B56" s="35" t="str">
        <f>catalog!B95</f>
        <v>Aceite de Orégano Gotas</v>
      </c>
      <c r="C56" s="35"/>
      <c r="D56" s="36">
        <f>catalog!E95</f>
        <v>5500</v>
      </c>
      <c r="E56" s="35" t="str">
        <f t="shared" si="2"/>
        <v>SI</v>
      </c>
      <c r="F56" s="35"/>
      <c r="G56" s="35"/>
      <c r="H56" s="35"/>
      <c r="I56" s="30">
        <v>1.0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>
        <f t="shared" si="3"/>
        <v>1</v>
      </c>
    </row>
    <row r="57">
      <c r="A57" s="35">
        <f t="shared" si="1"/>
        <v>17</v>
      </c>
      <c r="B57" s="35" t="str">
        <f>catalog!B96</f>
        <v>Almendras con chocolate 1kg Los Carolinos</v>
      </c>
      <c r="C57" s="35"/>
      <c r="D57" s="36">
        <f>catalog!E96</f>
        <v>32500</v>
      </c>
      <c r="E57" s="35" t="str">
        <f t="shared" si="2"/>
        <v>NO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>
        <f t="shared" si="3"/>
        <v>0</v>
      </c>
    </row>
    <row r="58">
      <c r="A58" s="35">
        <f t="shared" si="1"/>
        <v>17</v>
      </c>
      <c r="B58" s="35" t="str">
        <f>catalog!B97</f>
        <v>Maní con Chocolate 1kg Los Carolinos</v>
      </c>
      <c r="C58" s="35"/>
      <c r="D58" s="36">
        <f>catalog!E97</f>
        <v>18000</v>
      </c>
      <c r="E58" s="35" t="str">
        <f t="shared" si="2"/>
        <v>NO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>
        <f t="shared" si="3"/>
        <v>0</v>
      </c>
    </row>
    <row r="59">
      <c r="A59" s="35">
        <f t="shared" si="1"/>
        <v>17</v>
      </c>
      <c r="B59" s="35" t="str">
        <f>catalog!B98</f>
        <v>Pasas con Chocolate 1kg Los Carolinos</v>
      </c>
      <c r="C59" s="35"/>
      <c r="D59" s="36">
        <f>catalog!E98</f>
        <v>20000</v>
      </c>
      <c r="E59" s="35" t="str">
        <f t="shared" si="2"/>
        <v>NO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>
        <f t="shared" si="3"/>
        <v>0</v>
      </c>
    </row>
    <row r="60">
      <c r="A60" s="35">
        <f t="shared" si="1"/>
        <v>17</v>
      </c>
      <c r="B60" s="35" t="str">
        <f>catalog!B99</f>
        <v>Cereal Cubierto con Chocolate 1kg Los Carolinos</v>
      </c>
      <c r="C60" s="35"/>
      <c r="D60" s="36">
        <f>catalog!E99</f>
        <v>19300</v>
      </c>
      <c r="E60" s="35" t="str">
        <f t="shared" si="2"/>
        <v>NO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>
        <f t="shared" si="3"/>
        <v>0</v>
      </c>
    </row>
    <row r="61">
      <c r="A61" s="35">
        <f t="shared" si="1"/>
        <v>17</v>
      </c>
      <c r="B61" s="35" t="str">
        <f>catalog!B102</f>
        <v>Chip de Chocolate semiamargo 1kg Alpino</v>
      </c>
      <c r="C61" s="35"/>
      <c r="D61" s="36">
        <f>catalog!E102</f>
        <v>11000</v>
      </c>
      <c r="E61" s="35" t="str">
        <f t="shared" si="2"/>
        <v>NO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>
        <f t="shared" si="3"/>
        <v>0</v>
      </c>
    </row>
    <row r="62">
      <c r="A62" s="35">
        <f t="shared" si="1"/>
        <v>17</v>
      </c>
      <c r="B62" s="35" t="str">
        <f>catalog!B104</f>
        <v>Rocklets ARCOR 1kg</v>
      </c>
      <c r="C62" s="35"/>
      <c r="D62" s="36">
        <f>catalog!E104</f>
        <v>18000</v>
      </c>
      <c r="E62" s="35" t="str">
        <f t="shared" si="2"/>
        <v>NO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>
        <f t="shared" si="3"/>
        <v>0</v>
      </c>
    </row>
    <row r="63">
      <c r="A63" s="35">
        <f t="shared" si="1"/>
        <v>17</v>
      </c>
      <c r="B63" s="35" t="str">
        <f>catalog!B105</f>
        <v>Coco rallado 1kg  MEDIUM FAT</v>
      </c>
      <c r="C63" s="35"/>
      <c r="D63" s="36">
        <f>catalog!E105</f>
        <v>9300</v>
      </c>
      <c r="E63" s="35" t="str">
        <f t="shared" si="2"/>
        <v>SI</v>
      </c>
      <c r="F63" s="35"/>
      <c r="G63" s="35"/>
      <c r="H63" s="30">
        <v>1.0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>
        <f t="shared" si="3"/>
        <v>1</v>
      </c>
    </row>
    <row r="64">
      <c r="A64" s="35">
        <f t="shared" si="1"/>
        <v>17</v>
      </c>
      <c r="B64" s="35" t="str">
        <f>catalog!B112</f>
        <v>Cacao amargo MAYANA SINTAC 1kg</v>
      </c>
      <c r="C64" s="35"/>
      <c r="D64" s="36">
        <f>catalog!E112</f>
        <v>14000</v>
      </c>
      <c r="E64" s="35" t="str">
        <f t="shared" si="2"/>
        <v>SI</v>
      </c>
      <c r="F64" s="35"/>
      <c r="G64" s="35"/>
      <c r="H64" s="35"/>
      <c r="I64" s="35"/>
      <c r="J64" s="35"/>
      <c r="K64" s="35"/>
      <c r="L64" s="35"/>
      <c r="M64" s="35"/>
      <c r="N64" s="35"/>
      <c r="O64" s="30">
        <v>1.0</v>
      </c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>
        <f t="shared" si="3"/>
        <v>1</v>
      </c>
    </row>
    <row r="65">
      <c r="A65" s="35">
        <f t="shared" si="1"/>
        <v>17</v>
      </c>
      <c r="B65" s="35" t="str">
        <f>catalog!B117</f>
        <v>Chocolate Alpino Tabletas 500gr Baño de Molde Semiamargo/con leche/blanco</v>
      </c>
      <c r="C65" s="35"/>
      <c r="D65" s="36">
        <f>catalog!E117</f>
        <v>7200</v>
      </c>
      <c r="E65" s="35" t="str">
        <f t="shared" si="2"/>
        <v>NO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>
        <f t="shared" si="3"/>
        <v>0</v>
      </c>
    </row>
    <row r="66">
      <c r="A66" s="35">
        <f t="shared" si="1"/>
        <v>17</v>
      </c>
      <c r="B66" s="35" t="str">
        <f>catalog!B121</f>
        <v>Galletitas Nutresan 250gr. sabor Coco</v>
      </c>
      <c r="C66" s="35"/>
      <c r="D66" s="36">
        <f>catalog!E121</f>
        <v>1600</v>
      </c>
      <c r="E66" s="35" t="str">
        <f t="shared" si="2"/>
        <v>NO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>
        <f t="shared" si="3"/>
        <v>0</v>
      </c>
    </row>
    <row r="67">
      <c r="A67" s="35">
        <f t="shared" si="1"/>
        <v>17</v>
      </c>
      <c r="B67" s="35" t="str">
        <f>catalog!B122</f>
        <v>Galletitas Nutresan 250gr. sabor Natural con miel</v>
      </c>
      <c r="C67" s="35"/>
      <c r="D67" s="36">
        <f>catalog!E122</f>
        <v>1600</v>
      </c>
      <c r="E67" s="35" t="str">
        <f t="shared" si="2"/>
        <v>NO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>
        <f t="shared" si="3"/>
        <v>0</v>
      </c>
    </row>
    <row r="68">
      <c r="A68" s="35">
        <f t="shared" si="1"/>
        <v>17</v>
      </c>
      <c r="B68" s="35" t="str">
        <f>catalog!B123</f>
        <v>Galletitas Nutresan 250gr. sabor Avena</v>
      </c>
      <c r="C68" s="35"/>
      <c r="D68" s="36">
        <f>catalog!E123</f>
        <v>1400</v>
      </c>
      <c r="E68" s="35" t="str">
        <f t="shared" si="2"/>
        <v>NO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>
        <f t="shared" si="3"/>
        <v>0</v>
      </c>
    </row>
    <row r="69">
      <c r="A69" s="35">
        <f t="shared" si="1"/>
        <v>17</v>
      </c>
      <c r="B69" s="35" t="str">
        <f>catalog!B124</f>
        <v>Galletitas Nutresan 250gr. sabor Algarroba</v>
      </c>
      <c r="C69" s="35"/>
      <c r="D69" s="36">
        <f>catalog!E124</f>
        <v>1700</v>
      </c>
      <c r="E69" s="35" t="str">
        <f t="shared" si="2"/>
        <v>NO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>
        <f t="shared" si="3"/>
        <v>0</v>
      </c>
    </row>
    <row r="70">
      <c r="A70" s="35">
        <f t="shared" si="1"/>
        <v>17</v>
      </c>
      <c r="B70" s="35" t="str">
        <f>catalog!B125</f>
        <v>Galletitas Nutresan 250gr. dulce trigo Naranja Apto Diabéticos</v>
      </c>
      <c r="C70" s="35"/>
      <c r="D70" s="36">
        <f>catalog!E125</f>
        <v>2000</v>
      </c>
      <c r="E70" s="35" t="str">
        <f t="shared" si="2"/>
        <v>NO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>
        <f t="shared" si="3"/>
        <v>0</v>
      </c>
    </row>
    <row r="71">
      <c r="A71" s="35">
        <f t="shared" si="1"/>
        <v>17</v>
      </c>
      <c r="B71" s="35" t="str">
        <f>catalog!B126</f>
        <v>Galletitas Nutresan 250gr. dulce trigo LimónApto Diabéticos</v>
      </c>
      <c r="C71" s="35"/>
      <c r="D71" s="36">
        <f>catalog!E126</f>
        <v>2000</v>
      </c>
      <c r="E71" s="35" t="str">
        <f t="shared" si="2"/>
        <v>NO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>
        <f t="shared" si="3"/>
        <v>0</v>
      </c>
    </row>
    <row r="72">
      <c r="A72" s="35">
        <f t="shared" si="1"/>
        <v>17</v>
      </c>
      <c r="B72" s="35" t="str">
        <f>catalog!B133</f>
        <v>Mini Crackers 5 semillas</v>
      </c>
      <c r="C72" s="35"/>
      <c r="D72" s="36">
        <f>catalog!E133</f>
        <v>1200</v>
      </c>
      <c r="E72" s="35" t="str">
        <f t="shared" si="2"/>
        <v>NO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>
        <f t="shared" si="3"/>
        <v>0</v>
      </c>
    </row>
    <row r="73">
      <c r="A73" s="35">
        <f t="shared" si="1"/>
        <v>17</v>
      </c>
      <c r="B73" s="35" t="str">
        <f>catalog!B134</f>
        <v>Brownie de Algarroba light 12 unidades</v>
      </c>
      <c r="C73" s="35"/>
      <c r="D73" s="36">
        <f>catalog!E134</f>
        <v>18000</v>
      </c>
      <c r="E73" s="35" t="str">
        <f t="shared" si="2"/>
        <v>NO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>
        <f t="shared" si="3"/>
        <v>0</v>
      </c>
    </row>
    <row r="74">
      <c r="A74" s="35">
        <f t="shared" si="1"/>
        <v>17</v>
      </c>
      <c r="B74" s="35" t="str">
        <f>catalog!B141</f>
        <v>Brownie con avena y mascabo light 12 unidades</v>
      </c>
      <c r="C74" s="35"/>
      <c r="D74" s="36">
        <f>catalog!E141</f>
        <v>18000</v>
      </c>
      <c r="E74" s="35" t="str">
        <f t="shared" si="2"/>
        <v>NO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>
        <f t="shared" si="3"/>
        <v>0</v>
      </c>
    </row>
    <row r="75">
      <c r="A75" s="35">
        <f t="shared" si="1"/>
        <v>17</v>
      </c>
      <c r="B75" s="35" t="str">
        <f t="shared" ref="B75:B77" si="4">#REF!</f>
        <v>#REF!</v>
      </c>
      <c r="C75" s="35"/>
      <c r="D75" s="36" t="str">
        <f t="shared" ref="D75:D77" si="5">#REF!</f>
        <v>#REF!</v>
      </c>
      <c r="E75" s="35" t="str">
        <f t="shared" si="2"/>
        <v>NO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>
        <f t="shared" si="3"/>
        <v>0</v>
      </c>
    </row>
    <row r="76">
      <c r="A76" s="35">
        <f t="shared" si="1"/>
        <v>17</v>
      </c>
      <c r="B76" s="35" t="str">
        <f t="shared" si="4"/>
        <v>#REF!</v>
      </c>
      <c r="C76" s="35"/>
      <c r="D76" s="36" t="str">
        <f t="shared" si="5"/>
        <v>#REF!</v>
      </c>
      <c r="E76" s="35" t="str">
        <f t="shared" si="2"/>
        <v>NO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>
        <f t="shared" si="3"/>
        <v>0</v>
      </c>
    </row>
    <row r="77">
      <c r="A77" s="35">
        <f t="shared" si="1"/>
        <v>17</v>
      </c>
      <c r="B77" s="35" t="str">
        <f t="shared" si="4"/>
        <v>#REF!</v>
      </c>
      <c r="C77" s="35"/>
      <c r="D77" s="36" t="str">
        <f t="shared" si="5"/>
        <v>#REF!</v>
      </c>
      <c r="E77" s="35" t="str">
        <f t="shared" si="2"/>
        <v>NO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>
        <f t="shared" si="3"/>
        <v>0</v>
      </c>
    </row>
    <row r="78">
      <c r="A78" s="35">
        <f t="shared" si="1"/>
        <v>17</v>
      </c>
      <c r="B78" s="35" t="str">
        <f>catalog!B145</f>
        <v>Granolas Archimboldo Tropical 1kg</v>
      </c>
      <c r="C78" s="35"/>
      <c r="D78" s="36">
        <f>catalog!E145</f>
        <v>7200</v>
      </c>
      <c r="E78" s="35" t="str">
        <f t="shared" si="2"/>
        <v>SI</v>
      </c>
      <c r="F78" s="35"/>
      <c r="G78" s="35"/>
      <c r="H78" s="30">
        <v>1.0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>
        <f t="shared" si="3"/>
        <v>1</v>
      </c>
    </row>
    <row r="79">
      <c r="A79" s="35">
        <f t="shared" si="1"/>
        <v>17</v>
      </c>
      <c r="B79" s="35" t="str">
        <f>catalog!B146</f>
        <v>Granolas Archimboldo Premium crujiente 1kg</v>
      </c>
      <c r="C79" s="35"/>
      <c r="D79" s="36">
        <f>catalog!E146</f>
        <v>7500</v>
      </c>
      <c r="E79" s="35" t="str">
        <f t="shared" si="2"/>
        <v>NO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>
        <f t="shared" si="3"/>
        <v>0</v>
      </c>
    </row>
    <row r="80">
      <c r="A80" s="35">
        <f t="shared" si="1"/>
        <v>17</v>
      </c>
      <c r="B80" s="35" t="str">
        <f>catalog!B147</f>
        <v>Granolas Archimboldo crocante con manzana 1kg</v>
      </c>
      <c r="C80" s="35"/>
      <c r="D80" s="36">
        <f>catalog!E147</f>
        <v>7200</v>
      </c>
      <c r="E80" s="35" t="str">
        <f t="shared" si="2"/>
        <v>NO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>
        <f t="shared" si="3"/>
        <v>0</v>
      </c>
    </row>
    <row r="81">
      <c r="A81" s="35">
        <f t="shared" si="1"/>
        <v>17</v>
      </c>
      <c r="B81" s="35" t="str">
        <f>catalog!B148</f>
        <v>Granolas Archimboldo Natural 1kg</v>
      </c>
      <c r="C81" s="35"/>
      <c r="D81" s="36">
        <f>catalog!E148</f>
        <v>7200</v>
      </c>
      <c r="E81" s="35" t="str">
        <f t="shared" si="2"/>
        <v>NO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>
        <f t="shared" si="3"/>
        <v>0</v>
      </c>
    </row>
    <row r="82">
      <c r="A82" s="35">
        <f t="shared" si="1"/>
        <v>17</v>
      </c>
      <c r="B82" s="35" t="str">
        <f>catalog!B149</f>
        <v>Granolas Archimboldo Energética 1kg</v>
      </c>
      <c r="C82" s="35"/>
      <c r="D82" s="36">
        <f>catalog!E149</f>
        <v>7200</v>
      </c>
      <c r="E82" s="35" t="str">
        <f t="shared" si="2"/>
        <v>NO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>
        <f t="shared" si="3"/>
        <v>0</v>
      </c>
    </row>
    <row r="83">
      <c r="A83" s="35">
        <f t="shared" si="1"/>
        <v>17</v>
      </c>
      <c r="B83" s="35" t="str">
        <f>catalog!B160</f>
        <v>Calcio cubano x90gr (x unidad)</v>
      </c>
      <c r="C83" s="35"/>
      <c r="D83" s="36">
        <f>catalog!E160</f>
        <v>1000</v>
      </c>
      <c r="E83" s="35" t="str">
        <f t="shared" si="2"/>
        <v>NO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>
        <f t="shared" si="3"/>
        <v>0</v>
      </c>
    </row>
    <row r="84">
      <c r="A84" s="35">
        <f t="shared" si="1"/>
        <v>17</v>
      </c>
      <c r="B84" s="35" t="str">
        <f>catalog!B161</f>
        <v>Cartílago de Tiburon x 90 gr</v>
      </c>
      <c r="C84" s="35"/>
      <c r="D84" s="36">
        <f>catalog!E161</f>
        <v>1000</v>
      </c>
      <c r="E84" s="35" t="str">
        <f t="shared" si="2"/>
        <v>NO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>
        <f t="shared" si="3"/>
        <v>0</v>
      </c>
    </row>
    <row r="85">
      <c r="A85" s="35">
        <f t="shared" si="1"/>
        <v>17</v>
      </c>
      <c r="B85" s="35" t="str">
        <f>catalog!B162</f>
        <v>Moringa en Polvo x 90gr</v>
      </c>
      <c r="C85" s="35"/>
      <c r="D85" s="36">
        <f>catalog!E162</f>
        <v>1000</v>
      </c>
      <c r="E85" s="35" t="str">
        <f t="shared" si="2"/>
        <v>NO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>
        <f t="shared" si="3"/>
        <v>0</v>
      </c>
    </row>
    <row r="86">
      <c r="A86" s="35">
        <f t="shared" si="1"/>
        <v>17</v>
      </c>
      <c r="B86" s="35" t="str">
        <f>catalog!B163</f>
        <v>Spirulina en Polvo x 90gr</v>
      </c>
      <c r="C86" s="35"/>
      <c r="D86" s="36">
        <f>catalog!E163</f>
        <v>1000</v>
      </c>
      <c r="E86" s="35" t="str">
        <f t="shared" si="2"/>
        <v>NO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>
        <f t="shared" si="3"/>
        <v>0</v>
      </c>
    </row>
    <row r="87">
      <c r="A87" s="35">
        <f t="shared" si="1"/>
        <v>17</v>
      </c>
      <c r="B87" s="35" t="str">
        <f>catalog!B164</f>
        <v>Colageno en Polvo x 90gr</v>
      </c>
      <c r="C87" s="35"/>
      <c r="D87" s="36">
        <f>catalog!E164</f>
        <v>1000</v>
      </c>
      <c r="E87" s="35" t="str">
        <f t="shared" si="2"/>
        <v>NO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>
        <f t="shared" si="3"/>
        <v>0</v>
      </c>
    </row>
    <row r="88">
      <c r="A88" s="35">
        <f t="shared" si="1"/>
        <v>17</v>
      </c>
      <c r="B88" s="35" t="str">
        <f>catalog!B165</f>
        <v>Maca Kalpa 500gr</v>
      </c>
      <c r="C88" s="35"/>
      <c r="D88" s="36">
        <f>catalog!E165</f>
        <v>1700</v>
      </c>
      <c r="E88" s="35" t="str">
        <f t="shared" si="2"/>
        <v>NO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>
        <f t="shared" si="3"/>
        <v>0</v>
      </c>
    </row>
    <row r="89">
      <c r="A89" s="35">
        <f t="shared" si="1"/>
        <v>17</v>
      </c>
      <c r="B89" s="35" t="str">
        <f>catalog!B166</f>
        <v>Maca Negra Preimun x 100gr</v>
      </c>
      <c r="C89" s="35"/>
      <c r="D89" s="36">
        <f>catalog!E166</f>
        <v>1500</v>
      </c>
      <c r="E89" s="35" t="str">
        <f t="shared" si="2"/>
        <v>NO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>
        <f t="shared" si="3"/>
        <v>0</v>
      </c>
    </row>
    <row r="90">
      <c r="A90" s="35">
        <f t="shared" si="1"/>
        <v>17</v>
      </c>
      <c r="B90" s="35" t="str">
        <f>catalog!B168</f>
        <v>Te Matcha 50gr</v>
      </c>
      <c r="C90" s="35"/>
      <c r="D90" s="36">
        <f>catalog!E168</f>
        <v>3000</v>
      </c>
      <c r="E90" s="35" t="str">
        <f t="shared" si="2"/>
        <v>SI</v>
      </c>
      <c r="F90" s="35"/>
      <c r="G90" s="35"/>
      <c r="H90" s="35"/>
      <c r="I90" s="30">
        <v>1.0</v>
      </c>
      <c r="J90" s="35"/>
      <c r="K90" s="35"/>
      <c r="L90" s="30">
        <v>1.0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>
        <f t="shared" si="3"/>
        <v>2</v>
      </c>
    </row>
    <row r="91">
      <c r="A91" s="35">
        <f t="shared" si="1"/>
        <v>17</v>
      </c>
      <c r="B91" s="35" t="str">
        <f>catalog!B169</f>
        <v>Sal de himalaya fina 1kg</v>
      </c>
      <c r="C91" s="35"/>
      <c r="D91" s="36">
        <f>catalog!E169</f>
        <v>3000</v>
      </c>
      <c r="E91" s="35" t="str">
        <f t="shared" si="2"/>
        <v>SI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0">
        <v>1.0</v>
      </c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>
        <f t="shared" si="3"/>
        <v>1</v>
      </c>
    </row>
    <row r="92">
      <c r="A92" s="37">
        <v>15.0</v>
      </c>
      <c r="B92" s="37" t="s">
        <v>513</v>
      </c>
      <c r="C92" s="38"/>
      <c r="D92" s="39"/>
      <c r="E92" s="38" t="str">
        <f t="shared" si="2"/>
        <v>#REF!</v>
      </c>
      <c r="F92" s="38" t="str">
        <f t="shared" ref="F92:R92" si="6">SUMPRODUCT(F2:F91 , $D2:$D91)</f>
        <v>#REF!</v>
      </c>
      <c r="G92" s="38" t="str">
        <f t="shared" si="6"/>
        <v>#REF!</v>
      </c>
      <c r="H92" s="38" t="str">
        <f t="shared" si="6"/>
        <v>#REF!</v>
      </c>
      <c r="I92" s="38" t="str">
        <f t="shared" si="6"/>
        <v>#REF!</v>
      </c>
      <c r="J92" s="38" t="str">
        <f t="shared" si="6"/>
        <v>#REF!</v>
      </c>
      <c r="K92" s="38" t="str">
        <f t="shared" si="6"/>
        <v>#REF!</v>
      </c>
      <c r="L92" s="38" t="str">
        <f t="shared" si="6"/>
        <v>#REF!</v>
      </c>
      <c r="M92" s="38" t="str">
        <f t="shared" si="6"/>
        <v>#REF!</v>
      </c>
      <c r="N92" s="38" t="str">
        <f t="shared" si="6"/>
        <v>#REF!</v>
      </c>
      <c r="O92" s="38" t="str">
        <f t="shared" si="6"/>
        <v>#REF!</v>
      </c>
      <c r="P92" s="38" t="str">
        <f t="shared" si="6"/>
        <v>#REF!</v>
      </c>
      <c r="Q92" s="38" t="str">
        <f t="shared" si="6"/>
        <v>#REF!</v>
      </c>
      <c r="R92" s="38" t="str">
        <f t="shared" si="6"/>
        <v>#REF!</v>
      </c>
      <c r="S92" s="38"/>
      <c r="T92" s="38"/>
      <c r="U92" s="38"/>
      <c r="V92" s="38"/>
      <c r="W92" s="38"/>
      <c r="X92" s="38"/>
      <c r="Y92" s="38"/>
      <c r="Z92" s="38"/>
      <c r="AA92" s="38"/>
      <c r="AB92" s="38" t="str">
        <f t="shared" si="3"/>
        <v>#REF!</v>
      </c>
      <c r="AC92" s="40"/>
      <c r="AD92" s="40"/>
      <c r="AE92" s="40"/>
      <c r="AF92" s="40"/>
      <c r="AG92" s="40"/>
      <c r="AH92" s="40"/>
      <c r="AI92" s="40"/>
      <c r="AJ92" s="40"/>
      <c r="AK92" s="40"/>
    </row>
    <row r="93">
      <c r="B93" s="32" t="str">
        <f>catalog!B205</f>
        <v/>
      </c>
      <c r="D93" s="41" t="str">
        <f>catalog!E205</f>
        <v/>
      </c>
      <c r="AB93" s="32">
        <f t="shared" si="3"/>
        <v>0</v>
      </c>
    </row>
    <row r="94">
      <c r="A94" s="33" t="s">
        <v>507</v>
      </c>
      <c r="B94" s="33" t="s">
        <v>508</v>
      </c>
      <c r="C94" s="33" t="s">
        <v>509</v>
      </c>
      <c r="D94" s="34" t="s">
        <v>510</v>
      </c>
      <c r="E94" s="33" t="s">
        <v>511</v>
      </c>
      <c r="F94" s="13" t="s">
        <v>451</v>
      </c>
      <c r="G94" s="13" t="s">
        <v>451</v>
      </c>
      <c r="H94" s="13" t="s">
        <v>451</v>
      </c>
      <c r="I94" s="13" t="s">
        <v>451</v>
      </c>
      <c r="J94" s="13" t="s">
        <v>451</v>
      </c>
      <c r="K94" s="13" t="s">
        <v>451</v>
      </c>
      <c r="L94" s="13" t="s">
        <v>451</v>
      </c>
      <c r="M94" s="13" t="s">
        <v>451</v>
      </c>
      <c r="N94" s="13" t="s">
        <v>451</v>
      </c>
      <c r="O94" s="13" t="s">
        <v>451</v>
      </c>
      <c r="P94" s="13" t="s">
        <v>451</v>
      </c>
      <c r="Q94" s="13" t="s">
        <v>451</v>
      </c>
      <c r="R94" s="13" t="s">
        <v>451</v>
      </c>
      <c r="S94" s="13" t="s">
        <v>451</v>
      </c>
      <c r="T94" s="13" t="s">
        <v>451</v>
      </c>
      <c r="U94" s="13" t="s">
        <v>451</v>
      </c>
      <c r="V94" s="13" t="s">
        <v>451</v>
      </c>
      <c r="W94" s="13" t="s">
        <v>451</v>
      </c>
      <c r="X94" s="13" t="s">
        <v>451</v>
      </c>
      <c r="Y94" s="13" t="s">
        <v>451</v>
      </c>
      <c r="Z94" s="13" t="s">
        <v>451</v>
      </c>
      <c r="AA94" s="13" t="s">
        <v>451</v>
      </c>
      <c r="AB94" s="13" t="s">
        <v>512</v>
      </c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35">
        <f t="shared" ref="A95:A185" si="7">WEEKNUM("17/04/2025")</f>
        <v>16</v>
      </c>
      <c r="B95" s="35" t="str">
        <f>catalog!B2</f>
        <v>Nuez Mariposa Extra Light  x 1 Kg</v>
      </c>
      <c r="C95" s="35"/>
      <c r="D95" s="36">
        <f>catalog!E2</f>
        <v>20500</v>
      </c>
      <c r="E95" s="35" t="str">
        <f t="shared" ref="E95:E185" si="8">IF(sum(F95:AA95)&gt;=1,"SI", "NO")</f>
        <v>NO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>
        <f t="shared" ref="AB95:AB967" si="9">sum(F95:AA95)</f>
        <v>0</v>
      </c>
    </row>
    <row r="96">
      <c r="A96" s="35">
        <f t="shared" si="7"/>
        <v>16</v>
      </c>
      <c r="B96" s="35" t="str">
        <f>catalog!B3</f>
        <v>Almendra Non Pareil 27/30 x 1 Kg</v>
      </c>
      <c r="C96" s="35"/>
      <c r="D96" s="36">
        <f>catalog!E3</f>
        <v>23000</v>
      </c>
      <c r="E96" s="35" t="str">
        <f t="shared" si="8"/>
        <v>NO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>
        <f t="shared" si="9"/>
        <v>0</v>
      </c>
    </row>
    <row r="97">
      <c r="A97" s="35">
        <f t="shared" si="7"/>
        <v>16</v>
      </c>
      <c r="B97" s="35" t="str">
        <f>catalog!B4</f>
        <v>Mani tostado con y sin sal PREMIUM x 1 Kg</v>
      </c>
      <c r="C97" s="35"/>
      <c r="D97" s="36">
        <f>catalog!E4</f>
        <v>3000</v>
      </c>
      <c r="E97" s="35" t="str">
        <f t="shared" si="8"/>
        <v>NO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>
        <f t="shared" si="9"/>
        <v>0</v>
      </c>
    </row>
    <row r="98">
      <c r="A98" s="35">
        <f t="shared" si="7"/>
        <v>16</v>
      </c>
      <c r="B98" s="35" t="str">
        <f>#REF!</f>
        <v>#REF!</v>
      </c>
      <c r="C98" s="35"/>
      <c r="D98" s="36" t="str">
        <f>#REF!</f>
        <v>#REF!</v>
      </c>
      <c r="E98" s="35" t="str">
        <f t="shared" si="8"/>
        <v>NO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>
        <f t="shared" si="9"/>
        <v>0</v>
      </c>
    </row>
    <row r="99">
      <c r="A99" s="35">
        <f t="shared" si="7"/>
        <v>16</v>
      </c>
      <c r="B99" s="35" t="str">
        <f>catalog!B5</f>
        <v>Nuez Pecan x 1 Kg</v>
      </c>
      <c r="C99" s="35"/>
      <c r="D99" s="36">
        <f>catalog!E5</f>
        <v>34600</v>
      </c>
      <c r="E99" s="35" t="str">
        <f t="shared" si="8"/>
        <v>NO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>
        <f t="shared" si="9"/>
        <v>0</v>
      </c>
    </row>
    <row r="100">
      <c r="A100" s="35">
        <f t="shared" si="7"/>
        <v>16</v>
      </c>
      <c r="B100" s="35" t="str">
        <f>catalog!B6</f>
        <v>Cajú W4 brasilero x 1 Kg</v>
      </c>
      <c r="C100" s="35"/>
      <c r="D100" s="36">
        <f>catalog!E6</f>
        <v>19500</v>
      </c>
      <c r="E100" s="35" t="str">
        <f t="shared" si="8"/>
        <v>NO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>
        <f t="shared" si="9"/>
        <v>0</v>
      </c>
    </row>
    <row r="101">
      <c r="A101" s="35">
        <f t="shared" si="7"/>
        <v>16</v>
      </c>
      <c r="B101" s="35" t="str">
        <f>catalog!B8</f>
        <v>Castañas de PARA x 1 Kg</v>
      </c>
      <c r="C101" s="35"/>
      <c r="D101" s="36">
        <f>catalog!E8</f>
        <v>40200</v>
      </c>
      <c r="E101" s="35" t="str">
        <f t="shared" si="8"/>
        <v>NO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>
        <f t="shared" si="9"/>
        <v>0</v>
      </c>
    </row>
    <row r="102">
      <c r="A102" s="35">
        <f t="shared" si="7"/>
        <v>16</v>
      </c>
      <c r="B102" s="35" t="str">
        <f>catalog!B9</f>
        <v>Avellanas grandes  x 1 Kg</v>
      </c>
      <c r="C102" s="35"/>
      <c r="D102" s="36">
        <f>catalog!E9</f>
        <v>33200</v>
      </c>
      <c r="E102" s="35" t="str">
        <f t="shared" si="8"/>
        <v>NO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>
        <f t="shared" si="9"/>
        <v>0</v>
      </c>
    </row>
    <row r="103">
      <c r="A103" s="35">
        <f t="shared" si="7"/>
        <v>16</v>
      </c>
      <c r="B103" s="35" t="str">
        <f>#REF!</f>
        <v>#REF!</v>
      </c>
      <c r="C103" s="35"/>
      <c r="D103" s="36" t="str">
        <f>#REF!</f>
        <v>#REF!</v>
      </c>
      <c r="E103" s="35" t="str">
        <f t="shared" si="8"/>
        <v>NO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>
        <f t="shared" si="9"/>
        <v>0</v>
      </c>
    </row>
    <row r="104">
      <c r="A104" s="35">
        <f t="shared" si="7"/>
        <v>16</v>
      </c>
      <c r="B104" s="35" t="str">
        <f>catalog!B10</f>
        <v>Pasas Rubia  1kg</v>
      </c>
      <c r="C104" s="35"/>
      <c r="D104" s="36">
        <f>catalog!E10</f>
        <v>8200</v>
      </c>
      <c r="E104" s="35" t="str">
        <f t="shared" si="8"/>
        <v>NO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>
        <f t="shared" si="9"/>
        <v>0</v>
      </c>
    </row>
    <row r="105">
      <c r="A105" s="35">
        <f t="shared" si="7"/>
        <v>16</v>
      </c>
      <c r="B105" s="35" t="str">
        <f>catalog!B11</f>
        <v>Pistacho salado con cascara x 1 Kg</v>
      </c>
      <c r="C105" s="35"/>
      <c r="D105" s="36">
        <f>catalog!E11</f>
        <v>41000</v>
      </c>
      <c r="E105" s="35" t="str">
        <f t="shared" si="8"/>
        <v>NO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>
        <f t="shared" si="9"/>
        <v>0</v>
      </c>
    </row>
    <row r="106">
      <c r="A106" s="35">
        <f t="shared" si="7"/>
        <v>16</v>
      </c>
      <c r="B106" s="35" t="str">
        <f>catalog!B13</f>
        <v>Mix criollo o Runner (Nuez cuartos , almendra, cajú, mani, pasas rubias y morochas) x 1kg</v>
      </c>
      <c r="C106" s="35"/>
      <c r="D106" s="36">
        <f>catalog!E13</f>
        <v>8200</v>
      </c>
      <c r="E106" s="35" t="str">
        <f t="shared" si="8"/>
        <v>NO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>
        <f t="shared" si="9"/>
        <v>0</v>
      </c>
    </row>
    <row r="107">
      <c r="A107" s="35">
        <f t="shared" si="7"/>
        <v>16</v>
      </c>
      <c r="B107" s="35" t="str">
        <f>catalog!B15</f>
        <v>Mix premium gourmet  (Cajú, almendras, nueces y avellanas) x 1kg</v>
      </c>
      <c r="C107" s="35"/>
      <c r="D107" s="36">
        <f>catalog!E15</f>
        <v>23000</v>
      </c>
      <c r="E107" s="35" t="str">
        <f t="shared" si="8"/>
        <v>NO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>
        <f t="shared" si="9"/>
        <v>0</v>
      </c>
    </row>
    <row r="108">
      <c r="A108" s="35">
        <f t="shared" si="7"/>
        <v>16</v>
      </c>
      <c r="B108" s="35" t="str">
        <f>catalog!B17</f>
        <v>Mix criollo o runner con bananitas (Cajú, almendras, nueces, mani, pasas rubias y morochas, bananitas)</v>
      </c>
      <c r="C108" s="35"/>
      <c r="D108" s="36">
        <f>catalog!E17</f>
        <v>8400</v>
      </c>
      <c r="E108" s="35" t="str">
        <f t="shared" si="8"/>
        <v>NO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>
        <f t="shared" si="9"/>
        <v>0</v>
      </c>
    </row>
    <row r="109">
      <c r="A109" s="35">
        <f t="shared" si="7"/>
        <v>16</v>
      </c>
      <c r="B109" s="35" t="str">
        <f>catalog!B18</f>
        <v>Mix cervecero (semillas peladas de girasol y de zapallo, castañas de cajú saladas, maní salado, maní japonés) 1kg</v>
      </c>
      <c r="C109" s="35"/>
      <c r="D109" s="36">
        <f>catalog!E18</f>
        <v>6300</v>
      </c>
      <c r="E109" s="35" t="str">
        <f t="shared" si="8"/>
        <v>NO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>
        <f t="shared" si="9"/>
        <v>0</v>
      </c>
    </row>
    <row r="110">
      <c r="A110" s="35">
        <f t="shared" si="7"/>
        <v>16</v>
      </c>
      <c r="B110" s="35" t="str">
        <f>catalog!B21</f>
        <v>Bananas disecadas x 1kg</v>
      </c>
      <c r="C110" s="35"/>
      <c r="D110" s="36">
        <f>catalog!E21</f>
        <v>12000</v>
      </c>
      <c r="E110" s="35" t="str">
        <f t="shared" si="8"/>
        <v>NO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>
        <f t="shared" si="9"/>
        <v>0</v>
      </c>
    </row>
    <row r="111">
      <c r="A111" s="35">
        <f t="shared" si="7"/>
        <v>16</v>
      </c>
      <c r="B111" s="35" t="str">
        <f>catalog!B22</f>
        <v>Damasco turco grande x 1kg</v>
      </c>
      <c r="C111" s="35"/>
      <c r="D111" s="36">
        <f>catalog!E22</f>
        <v>42000</v>
      </c>
      <c r="E111" s="35" t="str">
        <f t="shared" si="8"/>
        <v>NO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>
        <f t="shared" si="9"/>
        <v>0</v>
      </c>
    </row>
    <row r="112">
      <c r="A112" s="35">
        <f t="shared" si="7"/>
        <v>16</v>
      </c>
      <c r="B112" s="35" t="str">
        <f>catalog!B23</f>
        <v>Tomates deshidratados x 1kg</v>
      </c>
      <c r="C112" s="35"/>
      <c r="D112" s="36">
        <f>catalog!E23</f>
        <v>15600</v>
      </c>
      <c r="E112" s="35" t="str">
        <f t="shared" si="8"/>
        <v>NO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>
        <f t="shared" si="9"/>
        <v>0</v>
      </c>
    </row>
    <row r="113">
      <c r="A113" s="35">
        <f t="shared" si="7"/>
        <v>16</v>
      </c>
      <c r="B113" s="35" t="str">
        <f>catalog!B26</f>
        <v>Ciruelas d Agen sin carozo  x 1kg</v>
      </c>
      <c r="C113" s="35"/>
      <c r="D113" s="36">
        <f>catalog!E26</f>
        <v>7500</v>
      </c>
      <c r="E113" s="35" t="str">
        <f t="shared" si="8"/>
        <v>NO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>
        <f t="shared" si="9"/>
        <v>0</v>
      </c>
    </row>
    <row r="114">
      <c r="A114" s="35">
        <f t="shared" si="7"/>
        <v>16</v>
      </c>
      <c r="B114" s="35" t="str">
        <f>catalog!B27</f>
        <v>Arandanos</v>
      </c>
      <c r="C114" s="35"/>
      <c r="D114" s="36">
        <f>catalog!E27</f>
        <v>13500</v>
      </c>
      <c r="E114" s="35" t="str">
        <f t="shared" si="8"/>
        <v>NO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>
        <f t="shared" si="9"/>
        <v>0</v>
      </c>
    </row>
    <row r="115">
      <c r="A115" s="35">
        <f t="shared" si="7"/>
        <v>16</v>
      </c>
      <c r="B115" s="35" t="str">
        <f>catalog!B28</f>
        <v>Higos negros x 5kg</v>
      </c>
      <c r="C115" s="35"/>
      <c r="D115" s="36">
        <f>catalog!E28</f>
        <v>47000</v>
      </c>
      <c r="E115" s="35" t="str">
        <f t="shared" si="8"/>
        <v>NO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>
        <f t="shared" si="9"/>
        <v>0</v>
      </c>
    </row>
    <row r="116">
      <c r="A116" s="35">
        <f t="shared" si="7"/>
        <v>16</v>
      </c>
      <c r="B116" s="35" t="str">
        <f>catalog!B29</f>
        <v>Datiles Egipto Caja 1 kg OFERTA</v>
      </c>
      <c r="C116" s="35"/>
      <c r="D116" s="36">
        <f>catalog!E29</f>
        <v>8000</v>
      </c>
      <c r="E116" s="35" t="str">
        <f t="shared" si="8"/>
        <v>NO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>
        <f t="shared" si="9"/>
        <v>0</v>
      </c>
    </row>
    <row r="117">
      <c r="A117" s="35">
        <f t="shared" si="7"/>
        <v>16</v>
      </c>
      <c r="B117" s="35" t="str">
        <f>#REF!</f>
        <v>#REF!</v>
      </c>
      <c r="C117" s="35"/>
      <c r="D117" s="36" t="str">
        <f>#REF!</f>
        <v>#REF!</v>
      </c>
      <c r="E117" s="35" t="str">
        <f t="shared" si="8"/>
        <v>NO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>
        <f t="shared" si="9"/>
        <v>0</v>
      </c>
    </row>
    <row r="118">
      <c r="A118" s="35">
        <f t="shared" si="7"/>
        <v>16</v>
      </c>
      <c r="B118" s="35" t="str">
        <f>catalog!B31</f>
        <v>Mix de semillas  (Lino,  girasol, sésamo) x 1kg</v>
      </c>
      <c r="C118" s="35"/>
      <c r="D118" s="36">
        <f>catalog!E31</f>
        <v>4000</v>
      </c>
      <c r="E118" s="35" t="str">
        <f t="shared" si="8"/>
        <v>NO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>
        <f t="shared" si="9"/>
        <v>0</v>
      </c>
    </row>
    <row r="119">
      <c r="A119" s="35">
        <f t="shared" si="7"/>
        <v>16</v>
      </c>
      <c r="B119" s="35" t="str">
        <f>catalog!B32</f>
        <v>Lino x 1Kg</v>
      </c>
      <c r="C119" s="35"/>
      <c r="D119" s="36">
        <f>catalog!E32</f>
        <v>3300</v>
      </c>
      <c r="E119" s="35" t="str">
        <f t="shared" si="8"/>
        <v>NO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>
        <f t="shared" si="9"/>
        <v>0</v>
      </c>
    </row>
    <row r="120">
      <c r="A120" s="35">
        <f t="shared" si="7"/>
        <v>16</v>
      </c>
      <c r="B120" s="35" t="str">
        <f>catalog!B33</f>
        <v>Chia premium x 1Kg</v>
      </c>
      <c r="C120" s="35"/>
      <c r="D120" s="36">
        <f>catalog!E33</f>
        <v>8700</v>
      </c>
      <c r="E120" s="35" t="str">
        <f t="shared" si="8"/>
        <v>NO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>
        <f t="shared" si="9"/>
        <v>0</v>
      </c>
    </row>
    <row r="121">
      <c r="A121" s="35">
        <f t="shared" si="7"/>
        <v>16</v>
      </c>
      <c r="B121" s="35" t="str">
        <f>catalog!B34</f>
        <v>Sésamo integral x 1Kg</v>
      </c>
      <c r="C121" s="35"/>
      <c r="D121" s="36">
        <f>catalog!E34</f>
        <v>5800</v>
      </c>
      <c r="E121" s="35" t="str">
        <f t="shared" si="8"/>
        <v>NO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>
        <f t="shared" si="9"/>
        <v>0</v>
      </c>
    </row>
    <row r="122">
      <c r="A122" s="35">
        <f t="shared" si="7"/>
        <v>16</v>
      </c>
      <c r="B122" s="35" t="str">
        <f>catalog!B35</f>
        <v>Sesamo blanco x 1Kg</v>
      </c>
      <c r="C122" s="35"/>
      <c r="D122" s="36">
        <f>catalog!E35</f>
        <v>10000</v>
      </c>
      <c r="E122" s="35" t="str">
        <f t="shared" si="8"/>
        <v>NO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>
        <f t="shared" si="9"/>
        <v>0</v>
      </c>
    </row>
    <row r="123">
      <c r="A123" s="35">
        <f t="shared" si="7"/>
        <v>16</v>
      </c>
      <c r="B123" s="35" t="str">
        <f>catalog!B36</f>
        <v>Girasol x 1Kg</v>
      </c>
      <c r="C123" s="35"/>
      <c r="D123" s="36">
        <f>catalog!E36</f>
        <v>4100</v>
      </c>
      <c r="E123" s="35" t="str">
        <f t="shared" si="8"/>
        <v>NO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>
        <f t="shared" si="9"/>
        <v>0</v>
      </c>
    </row>
    <row r="124">
      <c r="A124" s="35">
        <f t="shared" si="7"/>
        <v>16</v>
      </c>
      <c r="B124" s="35" t="str">
        <f>catalog!B37</f>
        <v>Quinoa x 1Kg</v>
      </c>
      <c r="C124" s="35"/>
      <c r="D124" s="36">
        <f>catalog!E37</f>
        <v>12400</v>
      </c>
      <c r="E124" s="35" t="str">
        <f t="shared" si="8"/>
        <v>NO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>
        <f t="shared" si="9"/>
        <v>0</v>
      </c>
    </row>
    <row r="125">
      <c r="A125" s="35">
        <f t="shared" si="7"/>
        <v>16</v>
      </c>
      <c r="B125" s="35" t="str">
        <f>catalog!B38</f>
        <v>Zapallo x 1Kg</v>
      </c>
      <c r="C125" s="35"/>
      <c r="D125" s="36">
        <f>catalog!E38</f>
        <v>14000</v>
      </c>
      <c r="E125" s="35" t="str">
        <f t="shared" si="8"/>
        <v>NO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8">
        <f t="shared" si="9"/>
        <v>0</v>
      </c>
      <c r="AC125" s="40"/>
      <c r="AD125" s="40"/>
      <c r="AE125" s="40"/>
      <c r="AF125" s="40"/>
      <c r="AG125" s="40"/>
      <c r="AH125" s="40"/>
      <c r="AI125" s="40"/>
      <c r="AJ125" s="40"/>
      <c r="AK125" s="40"/>
    </row>
    <row r="126">
      <c r="A126" s="35">
        <f t="shared" si="7"/>
        <v>16</v>
      </c>
      <c r="B126" s="35" t="str">
        <f>catalog!B40</f>
        <v/>
      </c>
      <c r="C126" s="35"/>
      <c r="D126" s="36" t="str">
        <f>catalog!E40</f>
        <v/>
      </c>
      <c r="E126" s="35" t="str">
        <f t="shared" si="8"/>
        <v>NO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2">
        <f t="shared" si="9"/>
        <v>0</v>
      </c>
    </row>
    <row r="127">
      <c r="A127" s="35">
        <f t="shared" si="7"/>
        <v>16</v>
      </c>
      <c r="B127" s="35" t="str">
        <f>catalog!B41</f>
        <v>Harina de coco  x 1Kg</v>
      </c>
      <c r="C127" s="35"/>
      <c r="D127" s="36">
        <f>catalog!E41</f>
        <v>5800</v>
      </c>
      <c r="E127" s="35" t="str">
        <f t="shared" si="8"/>
        <v>NO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2">
        <f t="shared" si="9"/>
        <v>0</v>
      </c>
    </row>
    <row r="128">
      <c r="A128" s="35">
        <f t="shared" si="7"/>
        <v>16</v>
      </c>
      <c r="B128" s="35" t="str">
        <f>catalog!B43</f>
        <v>Harina de almendras  con piel- OFERTA  x 1Kg</v>
      </c>
      <c r="C128" s="35"/>
      <c r="D128" s="36">
        <f>catalog!E43</f>
        <v>4300</v>
      </c>
      <c r="E128" s="35" t="str">
        <f t="shared" si="8"/>
        <v>NO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2">
        <f t="shared" si="9"/>
        <v>0</v>
      </c>
    </row>
    <row r="129">
      <c r="A129" s="35">
        <f t="shared" si="7"/>
        <v>16</v>
      </c>
      <c r="B129" s="35" t="str">
        <f>catalog!B44</f>
        <v>Harina de almendras sin piel- OFERTA  x 1Kg</v>
      </c>
      <c r="C129" s="35"/>
      <c r="D129" s="36">
        <f>catalog!E44</f>
        <v>4600</v>
      </c>
      <c r="E129" s="35" t="str">
        <f t="shared" si="8"/>
        <v>NO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2">
        <f t="shared" si="9"/>
        <v>0</v>
      </c>
    </row>
    <row r="130">
      <c r="A130" s="35">
        <f t="shared" si="7"/>
        <v>16</v>
      </c>
      <c r="B130" s="35" t="str">
        <f>catalog!B45</f>
        <v/>
      </c>
      <c r="C130" s="35"/>
      <c r="D130" s="36" t="str">
        <f>catalog!E45</f>
        <v/>
      </c>
      <c r="E130" s="35" t="str">
        <f t="shared" si="8"/>
        <v>NO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2">
        <f t="shared" si="9"/>
        <v>0</v>
      </c>
    </row>
    <row r="131">
      <c r="A131" s="35">
        <f t="shared" si="7"/>
        <v>16</v>
      </c>
      <c r="B131" s="35" t="str">
        <f>catalog!B46</f>
        <v/>
      </c>
      <c r="C131" s="35"/>
      <c r="D131" s="36" t="str">
        <f>catalog!E46</f>
        <v/>
      </c>
      <c r="E131" s="35" t="str">
        <f t="shared" si="8"/>
        <v>NO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2">
        <f t="shared" si="9"/>
        <v>0</v>
      </c>
    </row>
    <row r="132">
      <c r="A132" s="35">
        <f t="shared" si="7"/>
        <v>16</v>
      </c>
      <c r="B132" s="35" t="str">
        <f>catalog!B47</f>
        <v>Fécula de mandioca x 5Kg</v>
      </c>
      <c r="C132" s="35"/>
      <c r="D132" s="36">
        <f>catalog!E47</f>
        <v>11000</v>
      </c>
      <c r="E132" s="35" t="str">
        <f t="shared" si="8"/>
        <v>NO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2">
        <f t="shared" si="9"/>
        <v>0</v>
      </c>
    </row>
    <row r="133">
      <c r="A133" s="35">
        <f t="shared" si="7"/>
        <v>16</v>
      </c>
      <c r="B133" s="35" t="str">
        <f>catalog!B48</f>
        <v>Harina de arroz x 5Kg</v>
      </c>
      <c r="C133" s="35"/>
      <c r="D133" s="36">
        <f>catalog!E48</f>
        <v>7500</v>
      </c>
      <c r="E133" s="35" t="str">
        <f t="shared" si="8"/>
        <v>NO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2">
        <f t="shared" si="9"/>
        <v>0</v>
      </c>
    </row>
    <row r="134">
      <c r="A134" s="35">
        <f t="shared" si="7"/>
        <v>16</v>
      </c>
      <c r="B134" s="35" t="str">
        <f>catalog!B49</f>
        <v>Harina de algarroba x 1Kg MAYANA SIN TACC</v>
      </c>
      <c r="C134" s="35"/>
      <c r="D134" s="36">
        <f>catalog!E49</f>
        <v>7000</v>
      </c>
      <c r="E134" s="35" t="str">
        <f t="shared" si="8"/>
        <v>NO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2">
        <f t="shared" si="9"/>
        <v>0</v>
      </c>
    </row>
    <row r="135">
      <c r="A135" s="35">
        <f t="shared" si="7"/>
        <v>16</v>
      </c>
      <c r="B135" s="35" t="str">
        <f>#REF!</f>
        <v>#REF!</v>
      </c>
      <c r="C135" s="35"/>
      <c r="D135" s="36" t="str">
        <f>#REF!</f>
        <v>#REF!</v>
      </c>
      <c r="E135" s="35" t="str">
        <f t="shared" si="8"/>
        <v>NO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2">
        <f t="shared" si="9"/>
        <v>0</v>
      </c>
    </row>
    <row r="136">
      <c r="A136" s="35">
        <f t="shared" si="7"/>
        <v>16</v>
      </c>
      <c r="B136" s="35" t="str">
        <f>catalog!B50</f>
        <v>Kalena Roja Elaborada con palo</v>
      </c>
      <c r="C136" s="35"/>
      <c r="D136" s="36">
        <f>catalog!E50</f>
        <v>4200</v>
      </c>
      <c r="E136" s="35" t="str">
        <f t="shared" si="8"/>
        <v>NO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2">
        <f t="shared" si="9"/>
        <v>0</v>
      </c>
    </row>
    <row r="137">
      <c r="A137" s="35">
        <f t="shared" si="7"/>
        <v>16</v>
      </c>
      <c r="B137" s="35" t="str">
        <f>catalog!B51</f>
        <v>Kalena Celeste Elaborada sin palo</v>
      </c>
      <c r="C137" s="35"/>
      <c r="D137" s="36">
        <f>catalog!E51</f>
        <v>5000</v>
      </c>
      <c r="E137" s="35" t="str">
        <f t="shared" si="8"/>
        <v>NO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2">
        <f t="shared" si="9"/>
        <v>0</v>
      </c>
    </row>
    <row r="138">
      <c r="A138" s="35">
        <f t="shared" si="7"/>
        <v>16</v>
      </c>
      <c r="B138" s="35" t="str">
        <f>catalog!B52</f>
        <v>YERBA ROAPIPO SUAVE / TRADICIONAL 500gr Unidad</v>
      </c>
      <c r="C138" s="35"/>
      <c r="D138" s="36">
        <f>catalog!E52</f>
        <v>3400</v>
      </c>
      <c r="E138" s="35" t="str">
        <f t="shared" si="8"/>
        <v>NO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2">
        <f t="shared" si="9"/>
        <v>0</v>
      </c>
    </row>
    <row r="139">
      <c r="A139" s="35">
        <f t="shared" si="7"/>
        <v>16</v>
      </c>
      <c r="B139" s="35" t="str">
        <f>catalog!B53</f>
        <v>YERBA ROAPIPO SUAVE / TRADICIONAL  1 kgUnidad</v>
      </c>
      <c r="C139" s="35"/>
      <c r="D139" s="36">
        <f>catalog!E53</f>
        <v>6500</v>
      </c>
      <c r="E139" s="35" t="str">
        <f t="shared" si="8"/>
        <v>NO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2">
        <f t="shared" si="9"/>
        <v>0</v>
      </c>
    </row>
    <row r="140">
      <c r="A140" s="35">
        <f t="shared" si="7"/>
        <v>16</v>
      </c>
      <c r="B140" s="35" t="str">
        <f>catalog!B59</f>
        <v>Mermelada Los Carolinos  Ciruela/Naranja/Zapallo/Durazno/Tomate/Higo</v>
      </c>
      <c r="C140" s="35"/>
      <c r="D140" s="36">
        <f>catalog!E59</f>
        <v>3100</v>
      </c>
      <c r="E140" s="35" t="str">
        <f t="shared" si="8"/>
        <v>NO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2">
        <f t="shared" si="9"/>
        <v>0</v>
      </c>
    </row>
    <row r="141">
      <c r="A141" s="35">
        <f t="shared" si="7"/>
        <v>16</v>
      </c>
      <c r="B141" s="35" t="str">
        <f>catalog!B60</f>
        <v>Mermelada  Frutilla/Frutos Rojos/Arandanos</v>
      </c>
      <c r="C141" s="35"/>
      <c r="D141" s="36">
        <f>catalog!E60</f>
        <v>3500</v>
      </c>
      <c r="E141" s="35" t="str">
        <f t="shared" si="8"/>
        <v>NO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2">
        <f t="shared" si="9"/>
        <v>0</v>
      </c>
    </row>
    <row r="142">
      <c r="A142" s="35">
        <f t="shared" si="7"/>
        <v>16</v>
      </c>
      <c r="B142" s="35" t="str">
        <f>catalog!B81</f>
        <v>Pasta de Mani Entrenuts Natural/Crocante</v>
      </c>
      <c r="C142" s="35"/>
      <c r="D142" s="36">
        <f>catalog!E81</f>
        <v>2600</v>
      </c>
      <c r="E142" s="35" t="str">
        <f t="shared" si="8"/>
        <v>NO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2">
        <f t="shared" si="9"/>
        <v>0</v>
      </c>
    </row>
    <row r="143">
      <c r="A143" s="35">
        <f t="shared" si="7"/>
        <v>16</v>
      </c>
      <c r="B143" s="35" t="str">
        <f>catalog!B83</f>
        <v>Aceite de Oliva Sol Cuyano 500ml</v>
      </c>
      <c r="C143" s="35"/>
      <c r="D143" s="36">
        <f>catalog!E83</f>
        <v>11000</v>
      </c>
      <c r="E143" s="35" t="str">
        <f t="shared" si="8"/>
        <v>NO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2">
        <f t="shared" si="9"/>
        <v>0</v>
      </c>
    </row>
    <row r="144">
      <c r="A144" s="35">
        <f t="shared" si="7"/>
        <v>16</v>
      </c>
      <c r="B144" s="35" t="str">
        <f>catalog!B87</f>
        <v>Aceite de Coco Entrenuts x 360cc Neutro</v>
      </c>
      <c r="C144" s="35"/>
      <c r="D144" s="36">
        <f>catalog!E87</f>
        <v>5800</v>
      </c>
      <c r="E144" s="35" t="str">
        <f t="shared" si="8"/>
        <v>NO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2">
        <f t="shared" si="9"/>
        <v>0</v>
      </c>
    </row>
    <row r="145">
      <c r="A145" s="35">
        <f t="shared" si="7"/>
        <v>16</v>
      </c>
      <c r="B145" s="35" t="str">
        <f>catalog!B88</f>
        <v>Aceite de Coco Entrenuts x 360cc Virgen</v>
      </c>
      <c r="C145" s="35"/>
      <c r="D145" s="36">
        <f>catalog!E88</f>
        <v>10000</v>
      </c>
      <c r="E145" s="35" t="str">
        <f t="shared" si="8"/>
        <v>NO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2">
        <f t="shared" si="9"/>
        <v>0</v>
      </c>
    </row>
    <row r="146">
      <c r="A146" s="35">
        <f t="shared" si="7"/>
        <v>16</v>
      </c>
      <c r="B146" s="35" t="str">
        <f>catalog!B89</f>
        <v>Aceite de Coco Entrenuts x 200cc Neutro</v>
      </c>
      <c r="C146" s="35"/>
      <c r="D146" s="36">
        <f>catalog!E89</f>
        <v>4000</v>
      </c>
      <c r="E146" s="35" t="str">
        <f t="shared" si="8"/>
        <v>NO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2">
        <f t="shared" si="9"/>
        <v>0</v>
      </c>
    </row>
    <row r="147">
      <c r="A147" s="35">
        <f t="shared" si="7"/>
        <v>16</v>
      </c>
      <c r="B147" s="35" t="str">
        <f>catalog!B90</f>
        <v>Aceite de Coco Entrenuts x 200cc Virgen</v>
      </c>
      <c r="C147" s="35"/>
      <c r="D147" s="36">
        <f>catalog!E90</f>
        <v>6200</v>
      </c>
      <c r="E147" s="35" t="str">
        <f t="shared" si="8"/>
        <v>NO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2">
        <f t="shared" si="9"/>
        <v>0</v>
      </c>
    </row>
    <row r="148">
      <c r="A148" s="35">
        <f t="shared" si="7"/>
        <v>16</v>
      </c>
      <c r="B148" s="35" t="str">
        <f>catalog!B94</f>
        <v>Manteca clarificada Ghee Entrenetus</v>
      </c>
      <c r="C148" s="35"/>
      <c r="D148" s="36">
        <f>catalog!E94</f>
        <v>10000</v>
      </c>
      <c r="E148" s="35" t="str">
        <f t="shared" si="8"/>
        <v>NO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2">
        <f t="shared" si="9"/>
        <v>0</v>
      </c>
    </row>
    <row r="149">
      <c r="A149" s="35">
        <f t="shared" si="7"/>
        <v>16</v>
      </c>
      <c r="B149" s="35" t="str">
        <f>catalog!B95</f>
        <v>Aceite de Orégano Gotas</v>
      </c>
      <c r="C149" s="35"/>
      <c r="D149" s="36">
        <f>catalog!E95</f>
        <v>5500</v>
      </c>
      <c r="E149" s="35" t="str">
        <f t="shared" si="8"/>
        <v>NO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2">
        <f t="shared" si="9"/>
        <v>0</v>
      </c>
    </row>
    <row r="150">
      <c r="A150" s="35">
        <f t="shared" si="7"/>
        <v>16</v>
      </c>
      <c r="B150" s="35" t="str">
        <f>catalog!B96</f>
        <v>Almendras con chocolate 1kg Los Carolinos</v>
      </c>
      <c r="C150" s="35"/>
      <c r="D150" s="36">
        <f>catalog!E96</f>
        <v>32500</v>
      </c>
      <c r="E150" s="35" t="str">
        <f t="shared" si="8"/>
        <v>NO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2">
        <f t="shared" si="9"/>
        <v>0</v>
      </c>
    </row>
    <row r="151">
      <c r="A151" s="35">
        <f t="shared" si="7"/>
        <v>16</v>
      </c>
      <c r="B151" s="35" t="str">
        <f>catalog!B97</f>
        <v>Maní con Chocolate 1kg Los Carolinos</v>
      </c>
      <c r="C151" s="35"/>
      <c r="D151" s="36">
        <f>catalog!E97</f>
        <v>18000</v>
      </c>
      <c r="E151" s="35" t="str">
        <f t="shared" si="8"/>
        <v>NO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2">
        <f t="shared" si="9"/>
        <v>0</v>
      </c>
    </row>
    <row r="152">
      <c r="A152" s="35">
        <f t="shared" si="7"/>
        <v>16</v>
      </c>
      <c r="B152" s="35" t="str">
        <f>catalog!B98</f>
        <v>Pasas con Chocolate 1kg Los Carolinos</v>
      </c>
      <c r="C152" s="35"/>
      <c r="D152" s="36">
        <f>catalog!E98</f>
        <v>20000</v>
      </c>
      <c r="E152" s="35" t="str">
        <f t="shared" si="8"/>
        <v>NO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2">
        <f t="shared" si="9"/>
        <v>0</v>
      </c>
    </row>
    <row r="153">
      <c r="A153" s="35">
        <f t="shared" si="7"/>
        <v>16</v>
      </c>
      <c r="B153" s="35" t="str">
        <f>catalog!B99</f>
        <v>Cereal Cubierto con Chocolate 1kg Los Carolinos</v>
      </c>
      <c r="C153" s="35"/>
      <c r="D153" s="36">
        <f>catalog!E99</f>
        <v>19300</v>
      </c>
      <c r="E153" s="35" t="str">
        <f t="shared" si="8"/>
        <v>NO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2">
        <f t="shared" si="9"/>
        <v>0</v>
      </c>
    </row>
    <row r="154">
      <c r="A154" s="35">
        <f t="shared" si="7"/>
        <v>16</v>
      </c>
      <c r="B154" s="35" t="str">
        <f>catalog!B102</f>
        <v>Chip de Chocolate semiamargo 1kg Alpino</v>
      </c>
      <c r="C154" s="35"/>
      <c r="D154" s="36">
        <f>catalog!E102</f>
        <v>11000</v>
      </c>
      <c r="E154" s="35" t="str">
        <f t="shared" si="8"/>
        <v>NO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2">
        <f t="shared" si="9"/>
        <v>0</v>
      </c>
    </row>
    <row r="155">
      <c r="A155" s="35">
        <f t="shared" si="7"/>
        <v>16</v>
      </c>
      <c r="B155" s="35" t="str">
        <f>catalog!B104</f>
        <v>Rocklets ARCOR 1kg</v>
      </c>
      <c r="C155" s="35"/>
      <c r="D155" s="36">
        <f>catalog!E104</f>
        <v>18000</v>
      </c>
      <c r="E155" s="35" t="str">
        <f t="shared" si="8"/>
        <v>NO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2">
        <f t="shared" si="9"/>
        <v>0</v>
      </c>
    </row>
    <row r="156">
      <c r="A156" s="35">
        <f t="shared" si="7"/>
        <v>16</v>
      </c>
      <c r="B156" s="35" t="str">
        <f>catalog!B105</f>
        <v>Coco rallado 1kg  MEDIUM FAT</v>
      </c>
      <c r="C156" s="35"/>
      <c r="D156" s="36">
        <f>catalog!E105</f>
        <v>9300</v>
      </c>
      <c r="E156" s="35" t="str">
        <f t="shared" si="8"/>
        <v>NO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2">
        <f t="shared" si="9"/>
        <v>0</v>
      </c>
    </row>
    <row r="157">
      <c r="A157" s="35">
        <f t="shared" si="7"/>
        <v>16</v>
      </c>
      <c r="B157" s="35" t="str">
        <f>catalog!B112</f>
        <v>Cacao amargo MAYANA SINTAC 1kg</v>
      </c>
      <c r="C157" s="35"/>
      <c r="D157" s="36">
        <f>catalog!E112</f>
        <v>14000</v>
      </c>
      <c r="E157" s="35" t="str">
        <f t="shared" si="8"/>
        <v>NO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2">
        <f t="shared" si="9"/>
        <v>0</v>
      </c>
    </row>
    <row r="158">
      <c r="A158" s="35">
        <f t="shared" si="7"/>
        <v>16</v>
      </c>
      <c r="B158" s="35" t="str">
        <f>catalog!B117</f>
        <v>Chocolate Alpino Tabletas 500gr Baño de Molde Semiamargo/con leche/blanco</v>
      </c>
      <c r="C158" s="35"/>
      <c r="D158" s="36">
        <f>catalog!E117</f>
        <v>7200</v>
      </c>
      <c r="E158" s="35" t="str">
        <f t="shared" si="8"/>
        <v>NO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2">
        <f t="shared" si="9"/>
        <v>0</v>
      </c>
    </row>
    <row r="159">
      <c r="A159" s="35">
        <f t="shared" si="7"/>
        <v>16</v>
      </c>
      <c r="B159" s="35" t="str">
        <f>catalog!B121</f>
        <v>Galletitas Nutresan 250gr. sabor Coco</v>
      </c>
      <c r="C159" s="35"/>
      <c r="D159" s="36">
        <f>catalog!E121</f>
        <v>1600</v>
      </c>
      <c r="E159" s="35" t="str">
        <f t="shared" si="8"/>
        <v>NO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2">
        <f t="shared" si="9"/>
        <v>0</v>
      </c>
    </row>
    <row r="160">
      <c r="A160" s="35">
        <f t="shared" si="7"/>
        <v>16</v>
      </c>
      <c r="B160" s="35" t="str">
        <f>catalog!B122</f>
        <v>Galletitas Nutresan 250gr. sabor Natural con miel</v>
      </c>
      <c r="C160" s="35"/>
      <c r="D160" s="36">
        <f>catalog!E122</f>
        <v>1600</v>
      </c>
      <c r="E160" s="35" t="str">
        <f t="shared" si="8"/>
        <v>NO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2">
        <f t="shared" si="9"/>
        <v>0</v>
      </c>
    </row>
    <row r="161">
      <c r="A161" s="35">
        <f t="shared" si="7"/>
        <v>16</v>
      </c>
      <c r="B161" s="35" t="str">
        <f>catalog!B123</f>
        <v>Galletitas Nutresan 250gr. sabor Avena</v>
      </c>
      <c r="C161" s="35"/>
      <c r="D161" s="36">
        <f>catalog!E123</f>
        <v>1400</v>
      </c>
      <c r="E161" s="35" t="str">
        <f t="shared" si="8"/>
        <v>NO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2">
        <f t="shared" si="9"/>
        <v>0</v>
      </c>
    </row>
    <row r="162">
      <c r="A162" s="35">
        <f t="shared" si="7"/>
        <v>16</v>
      </c>
      <c r="B162" s="35" t="str">
        <f>catalog!B124</f>
        <v>Galletitas Nutresan 250gr. sabor Algarroba</v>
      </c>
      <c r="C162" s="35"/>
      <c r="D162" s="36">
        <f>catalog!E124</f>
        <v>1700</v>
      </c>
      <c r="E162" s="35" t="str">
        <f t="shared" si="8"/>
        <v>NO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2">
        <f t="shared" si="9"/>
        <v>0</v>
      </c>
    </row>
    <row r="163">
      <c r="A163" s="35">
        <f t="shared" si="7"/>
        <v>16</v>
      </c>
      <c r="B163" s="35" t="str">
        <f>catalog!B125</f>
        <v>Galletitas Nutresan 250gr. dulce trigo Naranja Apto Diabéticos</v>
      </c>
      <c r="C163" s="35"/>
      <c r="D163" s="36">
        <f>catalog!E125</f>
        <v>2000</v>
      </c>
      <c r="E163" s="35" t="str">
        <f t="shared" si="8"/>
        <v>NO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2">
        <f t="shared" si="9"/>
        <v>0</v>
      </c>
    </row>
    <row r="164">
      <c r="A164" s="35">
        <f t="shared" si="7"/>
        <v>16</v>
      </c>
      <c r="B164" s="35" t="str">
        <f>catalog!B126</f>
        <v>Galletitas Nutresan 250gr. dulce trigo LimónApto Diabéticos</v>
      </c>
      <c r="C164" s="35"/>
      <c r="D164" s="36">
        <f>catalog!E126</f>
        <v>2000</v>
      </c>
      <c r="E164" s="35" t="str">
        <f t="shared" si="8"/>
        <v>NO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2">
        <f t="shared" si="9"/>
        <v>0</v>
      </c>
    </row>
    <row r="165">
      <c r="A165" s="35">
        <f t="shared" si="7"/>
        <v>16</v>
      </c>
      <c r="B165" s="35" t="str">
        <f>catalog!B133</f>
        <v>Mini Crackers 5 semillas</v>
      </c>
      <c r="C165" s="35"/>
      <c r="D165" s="36">
        <f>catalog!E133</f>
        <v>1200</v>
      </c>
      <c r="E165" s="35" t="str">
        <f t="shared" si="8"/>
        <v>NO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2">
        <f t="shared" si="9"/>
        <v>0</v>
      </c>
    </row>
    <row r="166">
      <c r="A166" s="35">
        <f t="shared" si="7"/>
        <v>16</v>
      </c>
      <c r="B166" s="35" t="str">
        <f>catalog!B134</f>
        <v>Brownie de Algarroba light 12 unidades</v>
      </c>
      <c r="C166" s="35"/>
      <c r="D166" s="36">
        <f>catalog!E134</f>
        <v>18000</v>
      </c>
      <c r="E166" s="35" t="str">
        <f t="shared" si="8"/>
        <v>NO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2">
        <f t="shared" si="9"/>
        <v>0</v>
      </c>
    </row>
    <row r="167">
      <c r="A167" s="35">
        <f t="shared" si="7"/>
        <v>16</v>
      </c>
      <c r="B167" s="35" t="str">
        <f>catalog!B141</f>
        <v>Brownie con avena y mascabo light 12 unidades</v>
      </c>
      <c r="C167" s="35"/>
      <c r="D167" s="36">
        <f>catalog!E141</f>
        <v>18000</v>
      </c>
      <c r="E167" s="35" t="str">
        <f t="shared" si="8"/>
        <v>NO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2">
        <f t="shared" si="9"/>
        <v>0</v>
      </c>
    </row>
    <row r="168">
      <c r="A168" s="35">
        <f t="shared" si="7"/>
        <v>16</v>
      </c>
      <c r="B168" s="35" t="str">
        <f t="shared" ref="B168:B170" si="10">#REF!</f>
        <v>#REF!</v>
      </c>
      <c r="C168" s="35"/>
      <c r="D168" s="36" t="str">
        <f t="shared" ref="D168:D170" si="11">#REF!</f>
        <v>#REF!</v>
      </c>
      <c r="E168" s="35" t="str">
        <f t="shared" si="8"/>
        <v>NO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2">
        <f t="shared" si="9"/>
        <v>0</v>
      </c>
    </row>
    <row r="169">
      <c r="A169" s="35">
        <f t="shared" si="7"/>
        <v>16</v>
      </c>
      <c r="B169" s="35" t="str">
        <f t="shared" si="10"/>
        <v>#REF!</v>
      </c>
      <c r="C169" s="35"/>
      <c r="D169" s="36" t="str">
        <f t="shared" si="11"/>
        <v>#REF!</v>
      </c>
      <c r="E169" s="35" t="str">
        <f t="shared" si="8"/>
        <v>NO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2">
        <f t="shared" si="9"/>
        <v>0</v>
      </c>
    </row>
    <row r="170">
      <c r="A170" s="35">
        <f t="shared" si="7"/>
        <v>16</v>
      </c>
      <c r="B170" s="35" t="str">
        <f t="shared" si="10"/>
        <v>#REF!</v>
      </c>
      <c r="C170" s="35"/>
      <c r="D170" s="36" t="str">
        <f t="shared" si="11"/>
        <v>#REF!</v>
      </c>
      <c r="E170" s="35" t="str">
        <f t="shared" si="8"/>
        <v>NO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2">
        <f t="shared" si="9"/>
        <v>0</v>
      </c>
    </row>
    <row r="171">
      <c r="A171" s="35">
        <f t="shared" si="7"/>
        <v>16</v>
      </c>
      <c r="B171" s="35" t="str">
        <f>catalog!B145</f>
        <v>Granolas Archimboldo Tropical 1kg</v>
      </c>
      <c r="C171" s="35"/>
      <c r="D171" s="36">
        <f>catalog!E145</f>
        <v>7200</v>
      </c>
      <c r="E171" s="35" t="str">
        <f t="shared" si="8"/>
        <v>NO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2">
        <f t="shared" si="9"/>
        <v>0</v>
      </c>
    </row>
    <row r="172">
      <c r="A172" s="35">
        <f t="shared" si="7"/>
        <v>16</v>
      </c>
      <c r="B172" s="35" t="str">
        <f>catalog!B146</f>
        <v>Granolas Archimboldo Premium crujiente 1kg</v>
      </c>
      <c r="C172" s="35"/>
      <c r="D172" s="36">
        <f>catalog!E146</f>
        <v>7500</v>
      </c>
      <c r="E172" s="35" t="str">
        <f t="shared" si="8"/>
        <v>NO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2">
        <f t="shared" si="9"/>
        <v>0</v>
      </c>
    </row>
    <row r="173">
      <c r="A173" s="35">
        <f t="shared" si="7"/>
        <v>16</v>
      </c>
      <c r="B173" s="35" t="str">
        <f>catalog!B147</f>
        <v>Granolas Archimboldo crocante con manzana 1kg</v>
      </c>
      <c r="C173" s="35"/>
      <c r="D173" s="36">
        <f>catalog!E147</f>
        <v>7200</v>
      </c>
      <c r="E173" s="35" t="str">
        <f t="shared" si="8"/>
        <v>NO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2">
        <f t="shared" si="9"/>
        <v>0</v>
      </c>
    </row>
    <row r="174">
      <c r="A174" s="35">
        <f t="shared" si="7"/>
        <v>16</v>
      </c>
      <c r="B174" s="35" t="str">
        <f>catalog!B148</f>
        <v>Granolas Archimboldo Natural 1kg</v>
      </c>
      <c r="C174" s="35"/>
      <c r="D174" s="36">
        <f>catalog!E148</f>
        <v>7200</v>
      </c>
      <c r="E174" s="35" t="str">
        <f t="shared" si="8"/>
        <v>NO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2">
        <f t="shared" si="9"/>
        <v>0</v>
      </c>
    </row>
    <row r="175">
      <c r="A175" s="35">
        <f t="shared" si="7"/>
        <v>16</v>
      </c>
      <c r="B175" s="35" t="str">
        <f>catalog!B149</f>
        <v>Granolas Archimboldo Energética 1kg</v>
      </c>
      <c r="C175" s="35"/>
      <c r="D175" s="36">
        <f>catalog!E149</f>
        <v>7200</v>
      </c>
      <c r="E175" s="35" t="str">
        <f t="shared" si="8"/>
        <v>NO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2">
        <f t="shared" si="9"/>
        <v>0</v>
      </c>
    </row>
    <row r="176">
      <c r="A176" s="35">
        <f t="shared" si="7"/>
        <v>16</v>
      </c>
      <c r="B176" s="35" t="str">
        <f>catalog!B160</f>
        <v>Calcio cubano x90gr (x unidad)</v>
      </c>
      <c r="C176" s="35"/>
      <c r="D176" s="36">
        <f>catalog!E160</f>
        <v>1000</v>
      </c>
      <c r="E176" s="35" t="str">
        <f t="shared" si="8"/>
        <v>NO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2">
        <f t="shared" si="9"/>
        <v>0</v>
      </c>
    </row>
    <row r="177">
      <c r="A177" s="35">
        <f t="shared" si="7"/>
        <v>16</v>
      </c>
      <c r="B177" s="35" t="str">
        <f>catalog!B161</f>
        <v>Cartílago de Tiburon x 90 gr</v>
      </c>
      <c r="C177" s="35"/>
      <c r="D177" s="36">
        <f>catalog!E161</f>
        <v>1000</v>
      </c>
      <c r="E177" s="35" t="str">
        <f t="shared" si="8"/>
        <v>NO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2">
        <f t="shared" si="9"/>
        <v>0</v>
      </c>
    </row>
    <row r="178">
      <c r="A178" s="35">
        <f t="shared" si="7"/>
        <v>16</v>
      </c>
      <c r="B178" s="35" t="str">
        <f>catalog!B162</f>
        <v>Moringa en Polvo x 90gr</v>
      </c>
      <c r="C178" s="35"/>
      <c r="D178" s="36">
        <f>catalog!E162</f>
        <v>1000</v>
      </c>
      <c r="E178" s="35" t="str">
        <f t="shared" si="8"/>
        <v>NO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2">
        <f t="shared" si="9"/>
        <v>0</v>
      </c>
    </row>
    <row r="179">
      <c r="A179" s="35">
        <f t="shared" si="7"/>
        <v>16</v>
      </c>
      <c r="B179" s="35" t="str">
        <f>catalog!B163</f>
        <v>Spirulina en Polvo x 90gr</v>
      </c>
      <c r="C179" s="35"/>
      <c r="D179" s="36">
        <f>catalog!E163</f>
        <v>1000</v>
      </c>
      <c r="E179" s="35" t="str">
        <f t="shared" si="8"/>
        <v>NO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2">
        <f t="shared" si="9"/>
        <v>0</v>
      </c>
    </row>
    <row r="180">
      <c r="A180" s="35">
        <f t="shared" si="7"/>
        <v>16</v>
      </c>
      <c r="B180" s="35" t="str">
        <f>catalog!B164</f>
        <v>Colageno en Polvo x 90gr</v>
      </c>
      <c r="C180" s="35"/>
      <c r="D180" s="36">
        <f>catalog!E164</f>
        <v>1000</v>
      </c>
      <c r="E180" s="35" t="str">
        <f t="shared" si="8"/>
        <v>NO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2">
        <f t="shared" si="9"/>
        <v>0</v>
      </c>
    </row>
    <row r="181">
      <c r="A181" s="35">
        <f t="shared" si="7"/>
        <v>16</v>
      </c>
      <c r="B181" s="35" t="str">
        <f>catalog!B165</f>
        <v>Maca Kalpa 500gr</v>
      </c>
      <c r="C181" s="35"/>
      <c r="D181" s="36">
        <f>catalog!E165</f>
        <v>1700</v>
      </c>
      <c r="E181" s="35" t="str">
        <f t="shared" si="8"/>
        <v>NO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2">
        <f t="shared" si="9"/>
        <v>0</v>
      </c>
    </row>
    <row r="182">
      <c r="A182" s="35">
        <f t="shared" si="7"/>
        <v>16</v>
      </c>
      <c r="B182" s="35" t="str">
        <f>catalog!B166</f>
        <v>Maca Negra Preimun x 100gr</v>
      </c>
      <c r="C182" s="35"/>
      <c r="D182" s="36">
        <f>catalog!E166</f>
        <v>1500</v>
      </c>
      <c r="E182" s="35" t="str">
        <f t="shared" si="8"/>
        <v>NO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2">
        <f t="shared" si="9"/>
        <v>0</v>
      </c>
    </row>
    <row r="183">
      <c r="A183" s="35">
        <f t="shared" si="7"/>
        <v>16</v>
      </c>
      <c r="B183" s="35" t="str">
        <f>catalog!B168</f>
        <v>Te Matcha 50gr</v>
      </c>
      <c r="C183" s="35"/>
      <c r="D183" s="36">
        <f>catalog!E168</f>
        <v>3000</v>
      </c>
      <c r="E183" s="35" t="str">
        <f t="shared" si="8"/>
        <v>NO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2">
        <f t="shared" si="9"/>
        <v>0</v>
      </c>
    </row>
    <row r="184">
      <c r="A184" s="35">
        <f t="shared" si="7"/>
        <v>16</v>
      </c>
      <c r="B184" s="35" t="str">
        <f>catalog!B169</f>
        <v>Sal de himalaya fina 1kg</v>
      </c>
      <c r="C184" s="35"/>
      <c r="D184" s="36">
        <f>catalog!E169</f>
        <v>3000</v>
      </c>
      <c r="E184" s="35" t="str">
        <f t="shared" si="8"/>
        <v>NO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2">
        <f t="shared" si="9"/>
        <v>0</v>
      </c>
    </row>
    <row r="185">
      <c r="A185" s="35">
        <f t="shared" si="7"/>
        <v>16</v>
      </c>
      <c r="B185" s="37" t="s">
        <v>513</v>
      </c>
      <c r="C185" s="38"/>
      <c r="D185" s="39"/>
      <c r="E185" s="38" t="str">
        <f t="shared" si="8"/>
        <v>#REF!</v>
      </c>
      <c r="F185" s="38" t="str">
        <f t="shared" ref="F185:R185" si="12">SUMPRODUCT(F95:F184 , $D95:$D184)</f>
        <v>#REF!</v>
      </c>
      <c r="G185" s="38" t="str">
        <f t="shared" si="12"/>
        <v>#REF!</v>
      </c>
      <c r="H185" s="38" t="str">
        <f t="shared" si="12"/>
        <v>#REF!</v>
      </c>
      <c r="I185" s="38" t="str">
        <f t="shared" si="12"/>
        <v>#REF!</v>
      </c>
      <c r="J185" s="38" t="str">
        <f t="shared" si="12"/>
        <v>#REF!</v>
      </c>
      <c r="K185" s="38" t="str">
        <f t="shared" si="12"/>
        <v>#REF!</v>
      </c>
      <c r="L185" s="38" t="str">
        <f t="shared" si="12"/>
        <v>#REF!</v>
      </c>
      <c r="M185" s="38" t="str">
        <f t="shared" si="12"/>
        <v>#REF!</v>
      </c>
      <c r="N185" s="38" t="str">
        <f t="shared" si="12"/>
        <v>#REF!</v>
      </c>
      <c r="O185" s="38" t="str">
        <f t="shared" si="12"/>
        <v>#REF!</v>
      </c>
      <c r="P185" s="38" t="str">
        <f t="shared" si="12"/>
        <v>#REF!</v>
      </c>
      <c r="Q185" s="38" t="str">
        <f t="shared" si="12"/>
        <v>#REF!</v>
      </c>
      <c r="R185" s="38" t="str">
        <f t="shared" si="12"/>
        <v>#REF!</v>
      </c>
      <c r="S185" s="38"/>
      <c r="T185" s="38"/>
      <c r="U185" s="38"/>
      <c r="V185" s="38"/>
      <c r="W185" s="38"/>
      <c r="X185" s="38"/>
      <c r="Y185" s="38"/>
      <c r="Z185" s="38"/>
      <c r="AA185" s="38"/>
      <c r="AB185" s="38" t="str">
        <f t="shared" si="9"/>
        <v>#REF!</v>
      </c>
      <c r="AC185" s="38"/>
      <c r="AD185" s="38"/>
      <c r="AE185" s="38"/>
      <c r="AF185" s="38"/>
      <c r="AG185" s="38"/>
      <c r="AH185" s="38"/>
      <c r="AI185" s="38"/>
      <c r="AJ185" s="38"/>
      <c r="AK185" s="38" t="str">
        <f>sum(O185:AJ185)</f>
        <v>#REF!</v>
      </c>
    </row>
    <row r="186">
      <c r="B186" s="32" t="str">
        <f>catalog!B298</f>
        <v/>
      </c>
      <c r="D186" s="41" t="str">
        <f>catalog!E298</f>
        <v/>
      </c>
      <c r="AB186" s="32">
        <f t="shared" si="9"/>
        <v>0</v>
      </c>
    </row>
    <row r="187">
      <c r="B187" s="32" t="str">
        <f>catalog!B299</f>
        <v/>
      </c>
      <c r="D187" s="41" t="str">
        <f>catalog!E299</f>
        <v/>
      </c>
      <c r="AB187" s="32">
        <f t="shared" si="9"/>
        <v>0</v>
      </c>
    </row>
    <row r="188">
      <c r="B188" s="32" t="str">
        <f>catalog!B300</f>
        <v/>
      </c>
      <c r="D188" s="41" t="str">
        <f>catalog!E300</f>
        <v/>
      </c>
      <c r="AB188" s="32">
        <f t="shared" si="9"/>
        <v>0</v>
      </c>
    </row>
    <row r="189">
      <c r="B189" s="32" t="str">
        <f>catalog!B301</f>
        <v/>
      </c>
      <c r="D189" s="41" t="str">
        <f>catalog!E301</f>
        <v/>
      </c>
      <c r="AB189" s="32">
        <f t="shared" si="9"/>
        <v>0</v>
      </c>
    </row>
    <row r="190">
      <c r="B190" s="32" t="str">
        <f>catalog!B302</f>
        <v/>
      </c>
      <c r="D190" s="41" t="str">
        <f>catalog!E302</f>
        <v/>
      </c>
      <c r="AB190" s="32">
        <f t="shared" si="9"/>
        <v>0</v>
      </c>
    </row>
    <row r="191">
      <c r="B191" s="32" t="str">
        <f>catalog!B303</f>
        <v/>
      </c>
      <c r="D191" s="41" t="str">
        <f>catalog!E303</f>
        <v/>
      </c>
      <c r="AB191" s="32">
        <f t="shared" si="9"/>
        <v>0</v>
      </c>
    </row>
    <row r="192">
      <c r="B192" s="32" t="str">
        <f>catalog!B304</f>
        <v/>
      </c>
      <c r="D192" s="41" t="str">
        <f>catalog!E304</f>
        <v/>
      </c>
      <c r="AB192" s="32">
        <f t="shared" si="9"/>
        <v>0</v>
      </c>
    </row>
    <row r="193">
      <c r="B193" s="32" t="str">
        <f>catalog!B305</f>
        <v/>
      </c>
      <c r="D193" s="41" t="str">
        <f>catalog!E305</f>
        <v/>
      </c>
      <c r="AB193" s="32">
        <f t="shared" si="9"/>
        <v>0</v>
      </c>
    </row>
    <row r="194">
      <c r="B194" s="32" t="str">
        <f>catalog!B306</f>
        <v/>
      </c>
      <c r="D194" s="41" t="str">
        <f>catalog!E306</f>
        <v/>
      </c>
      <c r="AB194" s="32">
        <f t="shared" si="9"/>
        <v>0</v>
      </c>
    </row>
    <row r="195">
      <c r="B195" s="32" t="str">
        <f>catalog!B307</f>
        <v/>
      </c>
      <c r="D195" s="41" t="str">
        <f>catalog!E307</f>
        <v/>
      </c>
      <c r="AB195" s="32">
        <f t="shared" si="9"/>
        <v>0</v>
      </c>
    </row>
    <row r="196">
      <c r="B196" s="32" t="str">
        <f>catalog!B308</f>
        <v/>
      </c>
      <c r="D196" s="41" t="str">
        <f>catalog!E308</f>
        <v/>
      </c>
      <c r="AB196" s="32">
        <f t="shared" si="9"/>
        <v>0</v>
      </c>
    </row>
    <row r="197">
      <c r="B197" s="32" t="str">
        <f>catalog!B309</f>
        <v/>
      </c>
      <c r="D197" s="41" t="str">
        <f>catalog!E309</f>
        <v/>
      </c>
      <c r="AB197" s="32">
        <f t="shared" si="9"/>
        <v>0</v>
      </c>
    </row>
    <row r="198">
      <c r="B198" s="32" t="str">
        <f>catalog!B310</f>
        <v/>
      </c>
      <c r="D198" s="41" t="str">
        <f>catalog!E310</f>
        <v/>
      </c>
      <c r="AB198" s="32">
        <f t="shared" si="9"/>
        <v>0</v>
      </c>
    </row>
    <row r="199">
      <c r="B199" s="32" t="str">
        <f>catalog!B311</f>
        <v/>
      </c>
      <c r="D199" s="41" t="str">
        <f>catalog!E311</f>
        <v/>
      </c>
      <c r="AB199" s="32">
        <f t="shared" si="9"/>
        <v>0</v>
      </c>
    </row>
    <row r="200">
      <c r="B200" s="32" t="str">
        <f>catalog!B312</f>
        <v/>
      </c>
      <c r="D200" s="41" t="str">
        <f>catalog!E312</f>
        <v/>
      </c>
      <c r="AB200" s="32">
        <f t="shared" si="9"/>
        <v>0</v>
      </c>
    </row>
    <row r="201">
      <c r="B201" s="32" t="str">
        <f>catalog!B313</f>
        <v/>
      </c>
      <c r="D201" s="41" t="str">
        <f>catalog!E313</f>
        <v/>
      </c>
      <c r="AB201" s="32">
        <f t="shared" si="9"/>
        <v>0</v>
      </c>
    </row>
    <row r="202">
      <c r="B202" s="32" t="str">
        <f>catalog!B314</f>
        <v/>
      </c>
      <c r="D202" s="41" t="str">
        <f>catalog!E314</f>
        <v/>
      </c>
      <c r="AB202" s="32">
        <f t="shared" si="9"/>
        <v>0</v>
      </c>
    </row>
    <row r="203">
      <c r="B203" s="32" t="str">
        <f>catalog!B315</f>
        <v/>
      </c>
      <c r="D203" s="41" t="str">
        <f>catalog!E315</f>
        <v/>
      </c>
      <c r="AB203" s="32">
        <f t="shared" si="9"/>
        <v>0</v>
      </c>
    </row>
    <row r="204">
      <c r="B204" s="32" t="str">
        <f>catalog!B316</f>
        <v/>
      </c>
      <c r="D204" s="41" t="str">
        <f>catalog!E316</f>
        <v/>
      </c>
      <c r="AB204" s="32">
        <f t="shared" si="9"/>
        <v>0</v>
      </c>
    </row>
    <row r="205">
      <c r="B205" s="32" t="str">
        <f>catalog!B317</f>
        <v/>
      </c>
      <c r="D205" s="41" t="str">
        <f>catalog!E317</f>
        <v/>
      </c>
      <c r="AB205" s="32">
        <f t="shared" si="9"/>
        <v>0</v>
      </c>
    </row>
    <row r="206">
      <c r="B206" s="32" t="str">
        <f>catalog!B318</f>
        <v/>
      </c>
      <c r="D206" s="41" t="str">
        <f>catalog!E318</f>
        <v/>
      </c>
      <c r="AB206" s="32">
        <f t="shared" si="9"/>
        <v>0</v>
      </c>
    </row>
    <row r="207">
      <c r="B207" s="32" t="str">
        <f>catalog!B319</f>
        <v/>
      </c>
      <c r="D207" s="41" t="str">
        <f>catalog!E319</f>
        <v/>
      </c>
      <c r="AB207" s="32">
        <f t="shared" si="9"/>
        <v>0</v>
      </c>
    </row>
    <row r="208">
      <c r="B208" s="32" t="str">
        <f>catalog!B320</f>
        <v/>
      </c>
      <c r="D208" s="41" t="str">
        <f>catalog!E320</f>
        <v/>
      </c>
      <c r="AB208" s="32">
        <f t="shared" si="9"/>
        <v>0</v>
      </c>
    </row>
    <row r="209">
      <c r="B209" s="32" t="str">
        <f>catalog!B321</f>
        <v/>
      </c>
      <c r="D209" s="41" t="str">
        <f>catalog!E321</f>
        <v/>
      </c>
      <c r="AB209" s="32">
        <f t="shared" si="9"/>
        <v>0</v>
      </c>
    </row>
    <row r="210">
      <c r="B210" s="32" t="str">
        <f>catalog!B322</f>
        <v/>
      </c>
      <c r="D210" s="41" t="str">
        <f>catalog!E322</f>
        <v/>
      </c>
      <c r="AB210" s="32">
        <f t="shared" si="9"/>
        <v>0</v>
      </c>
    </row>
    <row r="211">
      <c r="B211" s="32" t="str">
        <f>catalog!B323</f>
        <v/>
      </c>
      <c r="D211" s="41" t="str">
        <f>catalog!E323</f>
        <v/>
      </c>
      <c r="AB211" s="32">
        <f t="shared" si="9"/>
        <v>0</v>
      </c>
    </row>
    <row r="212">
      <c r="B212" s="32" t="str">
        <f>catalog!B324</f>
        <v/>
      </c>
      <c r="D212" s="41" t="str">
        <f>catalog!E324</f>
        <v/>
      </c>
      <c r="AB212" s="32">
        <f t="shared" si="9"/>
        <v>0</v>
      </c>
    </row>
    <row r="213">
      <c r="B213" s="32" t="str">
        <f>catalog!B325</f>
        <v/>
      </c>
      <c r="D213" s="41" t="str">
        <f>catalog!E325</f>
        <v/>
      </c>
      <c r="AB213" s="32">
        <f t="shared" si="9"/>
        <v>0</v>
      </c>
    </row>
    <row r="214">
      <c r="B214" s="32" t="str">
        <f>catalog!B326</f>
        <v/>
      </c>
      <c r="D214" s="41" t="str">
        <f>catalog!E326</f>
        <v/>
      </c>
      <c r="AB214" s="32">
        <f t="shared" si="9"/>
        <v>0</v>
      </c>
    </row>
    <row r="215">
      <c r="B215" s="32" t="str">
        <f>catalog!B327</f>
        <v/>
      </c>
      <c r="D215" s="41" t="str">
        <f>catalog!E327</f>
        <v/>
      </c>
      <c r="AB215" s="32">
        <f t="shared" si="9"/>
        <v>0</v>
      </c>
    </row>
    <row r="216">
      <c r="B216" s="32" t="str">
        <f>catalog!B328</f>
        <v/>
      </c>
      <c r="D216" s="41" t="str">
        <f>catalog!E328</f>
        <v/>
      </c>
      <c r="AB216" s="32">
        <f t="shared" si="9"/>
        <v>0</v>
      </c>
    </row>
    <row r="217">
      <c r="B217" s="32" t="str">
        <f>catalog!B329</f>
        <v/>
      </c>
      <c r="D217" s="41" t="str">
        <f>catalog!E329</f>
        <v/>
      </c>
      <c r="AB217" s="32">
        <f t="shared" si="9"/>
        <v>0</v>
      </c>
    </row>
    <row r="218">
      <c r="B218" s="32" t="str">
        <f>catalog!B330</f>
        <v/>
      </c>
      <c r="D218" s="41" t="str">
        <f>catalog!E330</f>
        <v/>
      </c>
      <c r="AB218" s="32">
        <f t="shared" si="9"/>
        <v>0</v>
      </c>
    </row>
    <row r="219">
      <c r="B219" s="32" t="str">
        <f>catalog!B331</f>
        <v/>
      </c>
      <c r="D219" s="41" t="str">
        <f>catalog!E331</f>
        <v/>
      </c>
      <c r="AB219" s="32">
        <f t="shared" si="9"/>
        <v>0</v>
      </c>
    </row>
    <row r="220">
      <c r="B220" s="32" t="str">
        <f>catalog!B332</f>
        <v/>
      </c>
      <c r="D220" s="41" t="str">
        <f>catalog!E332</f>
        <v/>
      </c>
      <c r="AB220" s="32">
        <f t="shared" si="9"/>
        <v>0</v>
      </c>
    </row>
    <row r="221">
      <c r="B221" s="32" t="str">
        <f>catalog!B333</f>
        <v/>
      </c>
      <c r="D221" s="41" t="str">
        <f>catalog!E333</f>
        <v/>
      </c>
      <c r="AB221" s="32">
        <f t="shared" si="9"/>
        <v>0</v>
      </c>
    </row>
    <row r="222">
      <c r="B222" s="32" t="str">
        <f>catalog!B334</f>
        <v/>
      </c>
      <c r="D222" s="41" t="str">
        <f>catalog!E334</f>
        <v/>
      </c>
      <c r="AB222" s="32">
        <f t="shared" si="9"/>
        <v>0</v>
      </c>
    </row>
    <row r="223">
      <c r="B223" s="32" t="str">
        <f>catalog!B335</f>
        <v/>
      </c>
      <c r="D223" s="41" t="str">
        <f>catalog!E335</f>
        <v/>
      </c>
      <c r="AB223" s="32">
        <f t="shared" si="9"/>
        <v>0</v>
      </c>
    </row>
    <row r="224">
      <c r="B224" s="32" t="str">
        <f>catalog!B336</f>
        <v/>
      </c>
      <c r="D224" s="41" t="str">
        <f>catalog!E336</f>
        <v/>
      </c>
      <c r="AB224" s="32">
        <f t="shared" si="9"/>
        <v>0</v>
      </c>
    </row>
    <row r="225">
      <c r="B225" s="32" t="str">
        <f>catalog!B337</f>
        <v/>
      </c>
      <c r="D225" s="41" t="str">
        <f>catalog!E337</f>
        <v/>
      </c>
      <c r="AB225" s="32">
        <f t="shared" si="9"/>
        <v>0</v>
      </c>
    </row>
    <row r="226">
      <c r="B226" s="32" t="str">
        <f>catalog!B338</f>
        <v/>
      </c>
      <c r="D226" s="41" t="str">
        <f>catalog!E338</f>
        <v/>
      </c>
      <c r="AB226" s="32">
        <f t="shared" si="9"/>
        <v>0</v>
      </c>
    </row>
    <row r="227">
      <c r="B227" s="32" t="str">
        <f>catalog!B339</f>
        <v/>
      </c>
      <c r="D227" s="41" t="str">
        <f>catalog!E339</f>
        <v/>
      </c>
      <c r="AB227" s="32">
        <f t="shared" si="9"/>
        <v>0</v>
      </c>
    </row>
    <row r="228">
      <c r="B228" s="32" t="str">
        <f>catalog!B340</f>
        <v/>
      </c>
      <c r="D228" s="41" t="str">
        <f>catalog!E340</f>
        <v/>
      </c>
      <c r="AB228" s="32">
        <f t="shared" si="9"/>
        <v>0</v>
      </c>
    </row>
    <row r="229">
      <c r="B229" s="32" t="str">
        <f>catalog!B341</f>
        <v/>
      </c>
      <c r="D229" s="41" t="str">
        <f>catalog!E341</f>
        <v/>
      </c>
      <c r="AB229" s="32">
        <f t="shared" si="9"/>
        <v>0</v>
      </c>
    </row>
    <row r="230">
      <c r="B230" s="32" t="str">
        <f>catalog!B342</f>
        <v/>
      </c>
      <c r="D230" s="41" t="str">
        <f>catalog!E342</f>
        <v/>
      </c>
      <c r="AB230" s="32">
        <f t="shared" si="9"/>
        <v>0</v>
      </c>
    </row>
    <row r="231">
      <c r="B231" s="32" t="str">
        <f>catalog!B343</f>
        <v/>
      </c>
      <c r="D231" s="41" t="str">
        <f>catalog!E343</f>
        <v/>
      </c>
      <c r="AB231" s="32">
        <f t="shared" si="9"/>
        <v>0</v>
      </c>
    </row>
    <row r="232">
      <c r="B232" s="32" t="str">
        <f>catalog!B344</f>
        <v/>
      </c>
      <c r="D232" s="41" t="str">
        <f>catalog!E344</f>
        <v/>
      </c>
      <c r="AB232" s="32">
        <f t="shared" si="9"/>
        <v>0</v>
      </c>
    </row>
    <row r="233">
      <c r="B233" s="32" t="str">
        <f>catalog!B345</f>
        <v/>
      </c>
      <c r="D233" s="41" t="str">
        <f>catalog!E345</f>
        <v/>
      </c>
      <c r="AB233" s="32">
        <f t="shared" si="9"/>
        <v>0</v>
      </c>
    </row>
    <row r="234">
      <c r="B234" s="32" t="str">
        <f>catalog!B346</f>
        <v/>
      </c>
      <c r="D234" s="41" t="str">
        <f>catalog!E346</f>
        <v/>
      </c>
      <c r="AB234" s="32">
        <f t="shared" si="9"/>
        <v>0</v>
      </c>
    </row>
    <row r="235">
      <c r="B235" s="32" t="str">
        <f>catalog!B347</f>
        <v/>
      </c>
      <c r="D235" s="41" t="str">
        <f>catalog!E347</f>
        <v/>
      </c>
      <c r="AB235" s="32">
        <f t="shared" si="9"/>
        <v>0</v>
      </c>
    </row>
    <row r="236">
      <c r="B236" s="32" t="str">
        <f>catalog!B348</f>
        <v/>
      </c>
      <c r="D236" s="41" t="str">
        <f>catalog!E348</f>
        <v/>
      </c>
      <c r="AB236" s="32">
        <f t="shared" si="9"/>
        <v>0</v>
      </c>
    </row>
    <row r="237">
      <c r="B237" s="32" t="str">
        <f>catalog!B349</f>
        <v/>
      </c>
      <c r="D237" s="41" t="str">
        <f>catalog!E349</f>
        <v/>
      </c>
      <c r="AB237" s="32">
        <f t="shared" si="9"/>
        <v>0</v>
      </c>
    </row>
    <row r="238">
      <c r="B238" s="32" t="str">
        <f>catalog!B350</f>
        <v/>
      </c>
      <c r="D238" s="41" t="str">
        <f>catalog!E350</f>
        <v/>
      </c>
      <c r="AB238" s="32">
        <f t="shared" si="9"/>
        <v>0</v>
      </c>
    </row>
    <row r="239">
      <c r="B239" s="32" t="str">
        <f>catalog!B351</f>
        <v/>
      </c>
      <c r="D239" s="41" t="str">
        <f>catalog!E351</f>
        <v/>
      </c>
      <c r="AB239" s="32">
        <f t="shared" si="9"/>
        <v>0</v>
      </c>
    </row>
    <row r="240">
      <c r="B240" s="32" t="str">
        <f>catalog!B352</f>
        <v/>
      </c>
      <c r="D240" s="41" t="str">
        <f>catalog!E352</f>
        <v/>
      </c>
      <c r="AB240" s="32">
        <f t="shared" si="9"/>
        <v>0</v>
      </c>
    </row>
    <row r="241">
      <c r="B241" s="32" t="str">
        <f>catalog!B353</f>
        <v/>
      </c>
      <c r="D241" s="41" t="str">
        <f>catalog!E353</f>
        <v/>
      </c>
      <c r="AB241" s="32">
        <f t="shared" si="9"/>
        <v>0</v>
      </c>
    </row>
    <row r="242">
      <c r="B242" s="32" t="str">
        <f>catalog!B354</f>
        <v/>
      </c>
      <c r="D242" s="41" t="str">
        <f>catalog!E354</f>
        <v/>
      </c>
      <c r="AB242" s="32">
        <f t="shared" si="9"/>
        <v>0</v>
      </c>
    </row>
    <row r="243">
      <c r="B243" s="32" t="str">
        <f>catalog!B355</f>
        <v/>
      </c>
      <c r="D243" s="41" t="str">
        <f>catalog!E355</f>
        <v/>
      </c>
      <c r="AB243" s="32">
        <f t="shared" si="9"/>
        <v>0</v>
      </c>
    </row>
    <row r="244">
      <c r="B244" s="32" t="str">
        <f>catalog!B356</f>
        <v/>
      </c>
      <c r="D244" s="41" t="str">
        <f>catalog!E356</f>
        <v/>
      </c>
      <c r="AB244" s="32">
        <f t="shared" si="9"/>
        <v>0</v>
      </c>
    </row>
    <row r="245">
      <c r="B245" s="32" t="str">
        <f>catalog!B357</f>
        <v/>
      </c>
      <c r="D245" s="41" t="str">
        <f>catalog!E357</f>
        <v/>
      </c>
      <c r="AB245" s="32">
        <f t="shared" si="9"/>
        <v>0</v>
      </c>
    </row>
    <row r="246">
      <c r="B246" s="32" t="str">
        <f>catalog!B358</f>
        <v/>
      </c>
      <c r="D246" s="41" t="str">
        <f>catalog!E358</f>
        <v/>
      </c>
      <c r="AB246" s="32">
        <f t="shared" si="9"/>
        <v>0</v>
      </c>
    </row>
    <row r="247">
      <c r="B247" s="32" t="str">
        <f>catalog!B359</f>
        <v/>
      </c>
      <c r="D247" s="41" t="str">
        <f>catalog!E359</f>
        <v/>
      </c>
      <c r="AB247" s="32">
        <f t="shared" si="9"/>
        <v>0</v>
      </c>
    </row>
    <row r="248">
      <c r="B248" s="32" t="str">
        <f>catalog!B360</f>
        <v/>
      </c>
      <c r="D248" s="41" t="str">
        <f>catalog!E360</f>
        <v/>
      </c>
      <c r="AB248" s="32">
        <f t="shared" si="9"/>
        <v>0</v>
      </c>
    </row>
    <row r="249">
      <c r="B249" s="32" t="str">
        <f>catalog!B361</f>
        <v/>
      </c>
      <c r="D249" s="41" t="str">
        <f>catalog!E361</f>
        <v/>
      </c>
      <c r="AB249" s="32">
        <f t="shared" si="9"/>
        <v>0</v>
      </c>
    </row>
    <row r="250">
      <c r="B250" s="32" t="str">
        <f>catalog!B362</f>
        <v/>
      </c>
      <c r="D250" s="41" t="str">
        <f>catalog!E362</f>
        <v/>
      </c>
      <c r="AB250" s="32">
        <f t="shared" si="9"/>
        <v>0</v>
      </c>
    </row>
    <row r="251">
      <c r="B251" s="32" t="str">
        <f>catalog!B363</f>
        <v/>
      </c>
      <c r="D251" s="41" t="str">
        <f>catalog!E363</f>
        <v/>
      </c>
      <c r="AB251" s="32">
        <f t="shared" si="9"/>
        <v>0</v>
      </c>
    </row>
    <row r="252">
      <c r="B252" s="32" t="str">
        <f>catalog!B364</f>
        <v/>
      </c>
      <c r="D252" s="41" t="str">
        <f>catalog!E364</f>
        <v/>
      </c>
      <c r="AB252" s="32">
        <f t="shared" si="9"/>
        <v>0</v>
      </c>
    </row>
    <row r="253">
      <c r="B253" s="32" t="str">
        <f>catalog!B365</f>
        <v/>
      </c>
      <c r="D253" s="41" t="str">
        <f>catalog!E365</f>
        <v/>
      </c>
      <c r="AB253" s="32">
        <f t="shared" si="9"/>
        <v>0</v>
      </c>
    </row>
    <row r="254">
      <c r="B254" s="32" t="str">
        <f>catalog!B366</f>
        <v/>
      </c>
      <c r="D254" s="41" t="str">
        <f>catalog!E366</f>
        <v/>
      </c>
      <c r="AB254" s="32">
        <f t="shared" si="9"/>
        <v>0</v>
      </c>
    </row>
    <row r="255">
      <c r="B255" s="32" t="str">
        <f>catalog!B367</f>
        <v/>
      </c>
      <c r="D255" s="41" t="str">
        <f>catalog!E367</f>
        <v/>
      </c>
      <c r="AB255" s="32">
        <f t="shared" si="9"/>
        <v>0</v>
      </c>
    </row>
    <row r="256">
      <c r="B256" s="32" t="str">
        <f>catalog!B368</f>
        <v/>
      </c>
      <c r="D256" s="41" t="str">
        <f>catalog!E368</f>
        <v/>
      </c>
      <c r="AB256" s="32">
        <f t="shared" si="9"/>
        <v>0</v>
      </c>
    </row>
    <row r="257">
      <c r="B257" s="32" t="str">
        <f>catalog!B369</f>
        <v/>
      </c>
      <c r="D257" s="41" t="str">
        <f>catalog!E369</f>
        <v/>
      </c>
      <c r="AB257" s="32">
        <f t="shared" si="9"/>
        <v>0</v>
      </c>
    </row>
    <row r="258">
      <c r="B258" s="32" t="str">
        <f>catalog!B370</f>
        <v/>
      </c>
      <c r="D258" s="41" t="str">
        <f>catalog!E370</f>
        <v/>
      </c>
      <c r="AB258" s="32">
        <f t="shared" si="9"/>
        <v>0</v>
      </c>
    </row>
    <row r="259">
      <c r="B259" s="32" t="str">
        <f>catalog!B371</f>
        <v/>
      </c>
      <c r="D259" s="41" t="str">
        <f>catalog!E371</f>
        <v/>
      </c>
      <c r="AB259" s="32">
        <f t="shared" si="9"/>
        <v>0</v>
      </c>
    </row>
    <row r="260">
      <c r="B260" s="32" t="str">
        <f>catalog!B372</f>
        <v/>
      </c>
      <c r="D260" s="41" t="str">
        <f>catalog!E372</f>
        <v/>
      </c>
      <c r="AB260" s="32">
        <f t="shared" si="9"/>
        <v>0</v>
      </c>
    </row>
    <row r="261">
      <c r="B261" s="32" t="str">
        <f>catalog!B373</f>
        <v/>
      </c>
      <c r="D261" s="41" t="str">
        <f>catalog!E373</f>
        <v/>
      </c>
      <c r="AB261" s="32">
        <f t="shared" si="9"/>
        <v>0</v>
      </c>
    </row>
    <row r="262">
      <c r="B262" s="32" t="str">
        <f>catalog!B374</f>
        <v/>
      </c>
      <c r="D262" s="41" t="str">
        <f>catalog!E374</f>
        <v/>
      </c>
      <c r="AB262" s="32">
        <f t="shared" si="9"/>
        <v>0</v>
      </c>
    </row>
    <row r="263">
      <c r="B263" s="32" t="str">
        <f>catalog!B375</f>
        <v/>
      </c>
      <c r="D263" s="41" t="str">
        <f>catalog!E375</f>
        <v/>
      </c>
      <c r="AB263" s="32">
        <f t="shared" si="9"/>
        <v>0</v>
      </c>
    </row>
    <row r="264">
      <c r="B264" s="32" t="str">
        <f>catalog!B376</f>
        <v/>
      </c>
      <c r="D264" s="41" t="str">
        <f>catalog!E376</f>
        <v/>
      </c>
      <c r="AB264" s="32">
        <f t="shared" si="9"/>
        <v>0</v>
      </c>
    </row>
    <row r="265">
      <c r="B265" s="32" t="str">
        <f>catalog!B377</f>
        <v/>
      </c>
      <c r="D265" s="41" t="str">
        <f>catalog!E377</f>
        <v/>
      </c>
      <c r="AB265" s="32">
        <f t="shared" si="9"/>
        <v>0</v>
      </c>
    </row>
    <row r="266">
      <c r="B266" s="32" t="str">
        <f>catalog!B378</f>
        <v/>
      </c>
      <c r="D266" s="41" t="str">
        <f>catalog!E378</f>
        <v/>
      </c>
      <c r="AB266" s="32">
        <f t="shared" si="9"/>
        <v>0</v>
      </c>
    </row>
    <row r="267">
      <c r="B267" s="32" t="str">
        <f>catalog!B379</f>
        <v/>
      </c>
      <c r="D267" s="41" t="str">
        <f>catalog!E379</f>
        <v/>
      </c>
      <c r="AB267" s="32">
        <f t="shared" si="9"/>
        <v>0</v>
      </c>
    </row>
    <row r="268">
      <c r="B268" s="32" t="str">
        <f>catalog!B380</f>
        <v/>
      </c>
      <c r="D268" s="41" t="str">
        <f>catalog!E380</f>
        <v/>
      </c>
      <c r="AB268" s="32">
        <f t="shared" si="9"/>
        <v>0</v>
      </c>
    </row>
    <row r="269">
      <c r="B269" s="32" t="str">
        <f>catalog!B381</f>
        <v/>
      </c>
      <c r="D269" s="41" t="str">
        <f>catalog!E381</f>
        <v/>
      </c>
      <c r="AB269" s="32">
        <f t="shared" si="9"/>
        <v>0</v>
      </c>
    </row>
    <row r="270">
      <c r="B270" s="32" t="str">
        <f>catalog!B382</f>
        <v/>
      </c>
      <c r="D270" s="41" t="str">
        <f>catalog!E382</f>
        <v/>
      </c>
      <c r="AB270" s="32">
        <f t="shared" si="9"/>
        <v>0</v>
      </c>
    </row>
    <row r="271">
      <c r="B271" s="32" t="str">
        <f>catalog!B383</f>
        <v/>
      </c>
      <c r="D271" s="41" t="str">
        <f>catalog!E383</f>
        <v/>
      </c>
      <c r="AB271" s="32">
        <f t="shared" si="9"/>
        <v>0</v>
      </c>
    </row>
    <row r="272">
      <c r="B272" s="32" t="str">
        <f>catalog!B384</f>
        <v/>
      </c>
      <c r="D272" s="41" t="str">
        <f>catalog!E384</f>
        <v/>
      </c>
      <c r="AB272" s="32">
        <f t="shared" si="9"/>
        <v>0</v>
      </c>
    </row>
    <row r="273">
      <c r="B273" s="32" t="str">
        <f>catalog!B385</f>
        <v/>
      </c>
      <c r="D273" s="41" t="str">
        <f>catalog!E385</f>
        <v/>
      </c>
      <c r="AB273" s="32">
        <f t="shared" si="9"/>
        <v>0</v>
      </c>
    </row>
    <row r="274">
      <c r="B274" s="32" t="str">
        <f>catalog!B386</f>
        <v/>
      </c>
      <c r="D274" s="41" t="str">
        <f>catalog!E386</f>
        <v/>
      </c>
      <c r="AB274" s="32">
        <f t="shared" si="9"/>
        <v>0</v>
      </c>
    </row>
    <row r="275">
      <c r="B275" s="32" t="str">
        <f>catalog!B387</f>
        <v/>
      </c>
      <c r="D275" s="41" t="str">
        <f>catalog!E387</f>
        <v/>
      </c>
      <c r="AB275" s="32">
        <f t="shared" si="9"/>
        <v>0</v>
      </c>
    </row>
    <row r="276">
      <c r="B276" s="32" t="str">
        <f>catalog!B388</f>
        <v/>
      </c>
      <c r="D276" s="41" t="str">
        <f>catalog!E388</f>
        <v/>
      </c>
      <c r="AB276" s="32">
        <f t="shared" si="9"/>
        <v>0</v>
      </c>
    </row>
    <row r="277">
      <c r="B277" s="32" t="str">
        <f>catalog!B389</f>
        <v/>
      </c>
      <c r="D277" s="41" t="str">
        <f>catalog!E389</f>
        <v/>
      </c>
      <c r="AB277" s="32">
        <f t="shared" si="9"/>
        <v>0</v>
      </c>
    </row>
    <row r="278">
      <c r="B278" s="32" t="str">
        <f>catalog!B390</f>
        <v/>
      </c>
      <c r="D278" s="41" t="str">
        <f>catalog!E390</f>
        <v/>
      </c>
      <c r="AB278" s="32">
        <f t="shared" si="9"/>
        <v>0</v>
      </c>
    </row>
    <row r="279">
      <c r="B279" s="32" t="str">
        <f>catalog!B391</f>
        <v/>
      </c>
      <c r="D279" s="41" t="str">
        <f>catalog!E391</f>
        <v/>
      </c>
      <c r="AB279" s="32">
        <f t="shared" si="9"/>
        <v>0</v>
      </c>
    </row>
    <row r="280">
      <c r="B280" s="32" t="str">
        <f>catalog!B392</f>
        <v/>
      </c>
      <c r="D280" s="41" t="str">
        <f>catalog!E392</f>
        <v/>
      </c>
      <c r="AB280" s="32">
        <f t="shared" si="9"/>
        <v>0</v>
      </c>
    </row>
    <row r="281">
      <c r="B281" s="32" t="str">
        <f>catalog!B393</f>
        <v/>
      </c>
      <c r="D281" s="41" t="str">
        <f>catalog!E393</f>
        <v/>
      </c>
      <c r="AB281" s="32">
        <f t="shared" si="9"/>
        <v>0</v>
      </c>
    </row>
    <row r="282">
      <c r="B282" s="32" t="str">
        <f>catalog!B394</f>
        <v/>
      </c>
      <c r="D282" s="41" t="str">
        <f>catalog!E394</f>
        <v/>
      </c>
      <c r="AB282" s="32">
        <f t="shared" si="9"/>
        <v>0</v>
      </c>
    </row>
    <row r="283">
      <c r="B283" s="32" t="str">
        <f>catalog!B395</f>
        <v/>
      </c>
      <c r="D283" s="41" t="str">
        <f>catalog!E395</f>
        <v/>
      </c>
      <c r="AB283" s="32">
        <f t="shared" si="9"/>
        <v>0</v>
      </c>
    </row>
    <row r="284">
      <c r="B284" s="32" t="str">
        <f>catalog!B396</f>
        <v/>
      </c>
      <c r="D284" s="41" t="str">
        <f>catalog!E396</f>
        <v/>
      </c>
      <c r="AB284" s="32">
        <f t="shared" si="9"/>
        <v>0</v>
      </c>
    </row>
    <row r="285">
      <c r="B285" s="32" t="str">
        <f>catalog!B397</f>
        <v/>
      </c>
      <c r="D285" s="41" t="str">
        <f>catalog!E397</f>
        <v/>
      </c>
      <c r="AB285" s="32">
        <f t="shared" si="9"/>
        <v>0</v>
      </c>
    </row>
    <row r="286">
      <c r="B286" s="32" t="str">
        <f>catalog!B398</f>
        <v/>
      </c>
      <c r="D286" s="41" t="str">
        <f>catalog!E398</f>
        <v/>
      </c>
      <c r="AB286" s="32">
        <f t="shared" si="9"/>
        <v>0</v>
      </c>
    </row>
    <row r="287">
      <c r="B287" s="32" t="str">
        <f>catalog!B399</f>
        <v/>
      </c>
      <c r="D287" s="41" t="str">
        <f>catalog!E399</f>
        <v/>
      </c>
      <c r="AB287" s="32">
        <f t="shared" si="9"/>
        <v>0</v>
      </c>
    </row>
    <row r="288">
      <c r="B288" s="32" t="str">
        <f>catalog!B400</f>
        <v/>
      </c>
      <c r="D288" s="41" t="str">
        <f>catalog!E400</f>
        <v/>
      </c>
      <c r="AB288" s="32">
        <f t="shared" si="9"/>
        <v>0</v>
      </c>
    </row>
    <row r="289">
      <c r="B289" s="32" t="str">
        <f>catalog!B401</f>
        <v/>
      </c>
      <c r="D289" s="41" t="str">
        <f>catalog!E401</f>
        <v/>
      </c>
      <c r="AB289" s="32">
        <f t="shared" si="9"/>
        <v>0</v>
      </c>
    </row>
    <row r="290">
      <c r="B290" s="32" t="str">
        <f>catalog!B402</f>
        <v/>
      </c>
      <c r="D290" s="41" t="str">
        <f>catalog!E402</f>
        <v/>
      </c>
      <c r="AB290" s="32">
        <f t="shared" si="9"/>
        <v>0</v>
      </c>
    </row>
    <row r="291">
      <c r="B291" s="32" t="str">
        <f>catalog!B403</f>
        <v/>
      </c>
      <c r="D291" s="41" t="str">
        <f>catalog!E403</f>
        <v/>
      </c>
      <c r="AB291" s="32">
        <f t="shared" si="9"/>
        <v>0</v>
      </c>
    </row>
    <row r="292">
      <c r="B292" s="32" t="str">
        <f>catalog!B404</f>
        <v/>
      </c>
      <c r="D292" s="41" t="str">
        <f>catalog!E404</f>
        <v/>
      </c>
      <c r="AB292" s="32">
        <f t="shared" si="9"/>
        <v>0</v>
      </c>
    </row>
    <row r="293">
      <c r="B293" s="32" t="str">
        <f>catalog!B405</f>
        <v/>
      </c>
      <c r="D293" s="41" t="str">
        <f>catalog!E405</f>
        <v/>
      </c>
      <c r="AB293" s="32">
        <f t="shared" si="9"/>
        <v>0</v>
      </c>
    </row>
    <row r="294">
      <c r="B294" s="32" t="str">
        <f>catalog!B406</f>
        <v/>
      </c>
      <c r="D294" s="41" t="str">
        <f>catalog!E406</f>
        <v/>
      </c>
      <c r="AB294" s="32">
        <f t="shared" si="9"/>
        <v>0</v>
      </c>
    </row>
    <row r="295">
      <c r="B295" s="32" t="str">
        <f>catalog!B407</f>
        <v/>
      </c>
      <c r="D295" s="41" t="str">
        <f>catalog!E407</f>
        <v/>
      </c>
      <c r="AB295" s="32">
        <f t="shared" si="9"/>
        <v>0</v>
      </c>
    </row>
    <row r="296">
      <c r="B296" s="32" t="str">
        <f>catalog!B408</f>
        <v/>
      </c>
      <c r="D296" s="41" t="str">
        <f>catalog!E408</f>
        <v/>
      </c>
      <c r="AB296" s="32">
        <f t="shared" si="9"/>
        <v>0</v>
      </c>
    </row>
    <row r="297">
      <c r="B297" s="32" t="str">
        <f>catalog!B409</f>
        <v/>
      </c>
      <c r="D297" s="41" t="str">
        <f>catalog!E409</f>
        <v/>
      </c>
      <c r="AB297" s="32">
        <f t="shared" si="9"/>
        <v>0</v>
      </c>
    </row>
    <row r="298">
      <c r="B298" s="32" t="str">
        <f>catalog!B410</f>
        <v/>
      </c>
      <c r="D298" s="41" t="str">
        <f>catalog!E410</f>
        <v/>
      </c>
      <c r="AB298" s="32">
        <f t="shared" si="9"/>
        <v>0</v>
      </c>
    </row>
    <row r="299">
      <c r="B299" s="32" t="str">
        <f>catalog!B411</f>
        <v/>
      </c>
      <c r="D299" s="41" t="str">
        <f>catalog!E411</f>
        <v/>
      </c>
      <c r="AB299" s="32">
        <f t="shared" si="9"/>
        <v>0</v>
      </c>
    </row>
    <row r="300">
      <c r="B300" s="32" t="str">
        <f>catalog!B412</f>
        <v/>
      </c>
      <c r="D300" s="41" t="str">
        <f>catalog!E412</f>
        <v/>
      </c>
      <c r="AB300" s="32">
        <f t="shared" si="9"/>
        <v>0</v>
      </c>
    </row>
    <row r="301">
      <c r="B301" s="32" t="str">
        <f>catalog!B413</f>
        <v/>
      </c>
      <c r="D301" s="41" t="str">
        <f>catalog!E413</f>
        <v/>
      </c>
      <c r="AB301" s="32">
        <f t="shared" si="9"/>
        <v>0</v>
      </c>
    </row>
    <row r="302">
      <c r="B302" s="32" t="str">
        <f>catalog!B414</f>
        <v/>
      </c>
      <c r="D302" s="41" t="str">
        <f>catalog!E414</f>
        <v/>
      </c>
      <c r="AB302" s="32">
        <f t="shared" si="9"/>
        <v>0</v>
      </c>
    </row>
    <row r="303">
      <c r="B303" s="32" t="str">
        <f>catalog!B415</f>
        <v/>
      </c>
      <c r="D303" s="41" t="str">
        <f>catalog!E415</f>
        <v/>
      </c>
      <c r="AB303" s="32">
        <f t="shared" si="9"/>
        <v>0</v>
      </c>
    </row>
    <row r="304">
      <c r="B304" s="32" t="str">
        <f>catalog!B416</f>
        <v/>
      </c>
      <c r="D304" s="41" t="str">
        <f>catalog!E416</f>
        <v/>
      </c>
      <c r="AB304" s="32">
        <f t="shared" si="9"/>
        <v>0</v>
      </c>
    </row>
    <row r="305">
      <c r="B305" s="32" t="str">
        <f>catalog!B417</f>
        <v/>
      </c>
      <c r="D305" s="41" t="str">
        <f>catalog!E417</f>
        <v/>
      </c>
      <c r="AB305" s="32">
        <f t="shared" si="9"/>
        <v>0</v>
      </c>
    </row>
    <row r="306">
      <c r="B306" s="32" t="str">
        <f>catalog!B418</f>
        <v/>
      </c>
      <c r="D306" s="41" t="str">
        <f>catalog!E418</f>
        <v/>
      </c>
      <c r="AB306" s="32">
        <f t="shared" si="9"/>
        <v>0</v>
      </c>
    </row>
    <row r="307">
      <c r="B307" s="32" t="str">
        <f>catalog!B419</f>
        <v/>
      </c>
      <c r="D307" s="41" t="str">
        <f>catalog!E419</f>
        <v/>
      </c>
      <c r="AB307" s="32">
        <f t="shared" si="9"/>
        <v>0</v>
      </c>
    </row>
    <row r="308">
      <c r="B308" s="32" t="str">
        <f>catalog!B420</f>
        <v/>
      </c>
      <c r="D308" s="41" t="str">
        <f>catalog!E420</f>
        <v/>
      </c>
      <c r="AB308" s="32">
        <f t="shared" si="9"/>
        <v>0</v>
      </c>
    </row>
    <row r="309">
      <c r="B309" s="32" t="str">
        <f>catalog!B421</f>
        <v/>
      </c>
      <c r="D309" s="41" t="str">
        <f>catalog!E421</f>
        <v/>
      </c>
      <c r="AB309" s="32">
        <f t="shared" si="9"/>
        <v>0</v>
      </c>
    </row>
    <row r="310">
      <c r="B310" s="32" t="str">
        <f>catalog!B422</f>
        <v/>
      </c>
      <c r="D310" s="41" t="str">
        <f>catalog!E422</f>
        <v/>
      </c>
      <c r="AB310" s="32">
        <f t="shared" si="9"/>
        <v>0</v>
      </c>
    </row>
    <row r="311">
      <c r="B311" s="32" t="str">
        <f>catalog!B423</f>
        <v/>
      </c>
      <c r="D311" s="41" t="str">
        <f>catalog!E423</f>
        <v/>
      </c>
      <c r="AB311" s="32">
        <f t="shared" si="9"/>
        <v>0</v>
      </c>
    </row>
    <row r="312">
      <c r="B312" s="32" t="str">
        <f>catalog!B424</f>
        <v/>
      </c>
      <c r="D312" s="41" t="str">
        <f>catalog!E424</f>
        <v/>
      </c>
      <c r="AB312" s="32">
        <f t="shared" si="9"/>
        <v>0</v>
      </c>
    </row>
    <row r="313">
      <c r="B313" s="32" t="str">
        <f>catalog!B425</f>
        <v/>
      </c>
      <c r="D313" s="41" t="str">
        <f>catalog!E425</f>
        <v/>
      </c>
      <c r="AB313" s="32">
        <f t="shared" si="9"/>
        <v>0</v>
      </c>
    </row>
    <row r="314">
      <c r="B314" s="32" t="str">
        <f>catalog!B426</f>
        <v/>
      </c>
      <c r="D314" s="41" t="str">
        <f>catalog!E426</f>
        <v/>
      </c>
      <c r="AB314" s="32">
        <f t="shared" si="9"/>
        <v>0</v>
      </c>
    </row>
    <row r="315">
      <c r="B315" s="32" t="str">
        <f>catalog!B427</f>
        <v/>
      </c>
      <c r="D315" s="41" t="str">
        <f>catalog!E427</f>
        <v/>
      </c>
      <c r="AB315" s="32">
        <f t="shared" si="9"/>
        <v>0</v>
      </c>
    </row>
    <row r="316">
      <c r="B316" s="32" t="str">
        <f>catalog!B428</f>
        <v/>
      </c>
      <c r="D316" s="41" t="str">
        <f>catalog!E428</f>
        <v/>
      </c>
      <c r="AB316" s="32">
        <f t="shared" si="9"/>
        <v>0</v>
      </c>
    </row>
    <row r="317">
      <c r="B317" s="32" t="str">
        <f>catalog!B429</f>
        <v/>
      </c>
      <c r="D317" s="41" t="str">
        <f>catalog!E429</f>
        <v/>
      </c>
      <c r="AB317" s="32">
        <f t="shared" si="9"/>
        <v>0</v>
      </c>
    </row>
    <row r="318">
      <c r="B318" s="32" t="str">
        <f>catalog!B430</f>
        <v/>
      </c>
      <c r="D318" s="41" t="str">
        <f>catalog!E430</f>
        <v/>
      </c>
      <c r="AB318" s="32">
        <f t="shared" si="9"/>
        <v>0</v>
      </c>
    </row>
    <row r="319">
      <c r="B319" s="32" t="str">
        <f>catalog!B431</f>
        <v/>
      </c>
      <c r="D319" s="41" t="str">
        <f>catalog!E431</f>
        <v/>
      </c>
      <c r="AB319" s="32">
        <f t="shared" si="9"/>
        <v>0</v>
      </c>
    </row>
    <row r="320">
      <c r="B320" s="32" t="str">
        <f>catalog!B432</f>
        <v/>
      </c>
      <c r="D320" s="41" t="str">
        <f>catalog!E432</f>
        <v/>
      </c>
      <c r="AB320" s="32">
        <f t="shared" si="9"/>
        <v>0</v>
      </c>
    </row>
    <row r="321">
      <c r="B321" s="32" t="str">
        <f>catalog!B433</f>
        <v/>
      </c>
      <c r="D321" s="41" t="str">
        <f>catalog!E433</f>
        <v/>
      </c>
      <c r="AB321" s="32">
        <f t="shared" si="9"/>
        <v>0</v>
      </c>
    </row>
    <row r="322">
      <c r="B322" s="32" t="str">
        <f>catalog!B434</f>
        <v/>
      </c>
      <c r="D322" s="41" t="str">
        <f>catalog!E434</f>
        <v/>
      </c>
      <c r="AB322" s="32">
        <f t="shared" si="9"/>
        <v>0</v>
      </c>
    </row>
    <row r="323">
      <c r="B323" s="32" t="str">
        <f>catalog!B435</f>
        <v/>
      </c>
      <c r="D323" s="41" t="str">
        <f>catalog!E435</f>
        <v/>
      </c>
      <c r="AB323" s="32">
        <f t="shared" si="9"/>
        <v>0</v>
      </c>
    </row>
    <row r="324">
      <c r="B324" s="32" t="str">
        <f>catalog!B436</f>
        <v/>
      </c>
      <c r="D324" s="41" t="str">
        <f>catalog!E436</f>
        <v/>
      </c>
      <c r="AB324" s="32">
        <f t="shared" si="9"/>
        <v>0</v>
      </c>
    </row>
    <row r="325">
      <c r="B325" s="32" t="str">
        <f>catalog!B437</f>
        <v/>
      </c>
      <c r="D325" s="41" t="str">
        <f>catalog!E437</f>
        <v/>
      </c>
      <c r="AB325" s="32">
        <f t="shared" si="9"/>
        <v>0</v>
      </c>
    </row>
    <row r="326">
      <c r="B326" s="32" t="str">
        <f>catalog!B438</f>
        <v/>
      </c>
      <c r="D326" s="41" t="str">
        <f>catalog!E438</f>
        <v/>
      </c>
      <c r="AB326" s="32">
        <f t="shared" si="9"/>
        <v>0</v>
      </c>
    </row>
    <row r="327">
      <c r="B327" s="32" t="str">
        <f>catalog!B439</f>
        <v/>
      </c>
      <c r="D327" s="41" t="str">
        <f>catalog!E439</f>
        <v/>
      </c>
      <c r="AB327" s="32">
        <f t="shared" si="9"/>
        <v>0</v>
      </c>
    </row>
    <row r="328">
      <c r="B328" s="32" t="str">
        <f>catalog!B440</f>
        <v/>
      </c>
      <c r="D328" s="41" t="str">
        <f>catalog!E440</f>
        <v/>
      </c>
      <c r="AB328" s="32">
        <f t="shared" si="9"/>
        <v>0</v>
      </c>
    </row>
    <row r="329">
      <c r="B329" s="32" t="str">
        <f>catalog!B441</f>
        <v/>
      </c>
      <c r="D329" s="41" t="str">
        <f>catalog!E441</f>
        <v/>
      </c>
      <c r="AB329" s="32">
        <f t="shared" si="9"/>
        <v>0</v>
      </c>
    </row>
    <row r="330">
      <c r="B330" s="32" t="str">
        <f>catalog!B442</f>
        <v/>
      </c>
      <c r="D330" s="41" t="str">
        <f>catalog!E442</f>
        <v/>
      </c>
      <c r="AB330" s="32">
        <f t="shared" si="9"/>
        <v>0</v>
      </c>
    </row>
    <row r="331">
      <c r="B331" s="32" t="str">
        <f>catalog!B443</f>
        <v/>
      </c>
      <c r="D331" s="41" t="str">
        <f>catalog!E443</f>
        <v/>
      </c>
      <c r="AB331" s="32">
        <f t="shared" si="9"/>
        <v>0</v>
      </c>
    </row>
    <row r="332">
      <c r="B332" s="32" t="str">
        <f>catalog!B444</f>
        <v/>
      </c>
      <c r="D332" s="41" t="str">
        <f>catalog!E444</f>
        <v/>
      </c>
      <c r="AB332" s="32">
        <f t="shared" si="9"/>
        <v>0</v>
      </c>
    </row>
    <row r="333">
      <c r="B333" s="32" t="str">
        <f>catalog!B445</f>
        <v/>
      </c>
      <c r="D333" s="41" t="str">
        <f>catalog!E445</f>
        <v/>
      </c>
      <c r="AB333" s="32">
        <f t="shared" si="9"/>
        <v>0</v>
      </c>
    </row>
    <row r="334">
      <c r="B334" s="32" t="str">
        <f>catalog!B446</f>
        <v/>
      </c>
      <c r="D334" s="41" t="str">
        <f>catalog!E446</f>
        <v/>
      </c>
      <c r="AB334" s="32">
        <f t="shared" si="9"/>
        <v>0</v>
      </c>
    </row>
    <row r="335">
      <c r="B335" s="32" t="str">
        <f>catalog!B447</f>
        <v/>
      </c>
      <c r="D335" s="41" t="str">
        <f>catalog!E447</f>
        <v/>
      </c>
      <c r="AB335" s="32">
        <f t="shared" si="9"/>
        <v>0</v>
      </c>
    </row>
    <row r="336">
      <c r="B336" s="32" t="str">
        <f>catalog!B448</f>
        <v/>
      </c>
      <c r="D336" s="41" t="str">
        <f>catalog!E448</f>
        <v/>
      </c>
      <c r="AB336" s="32">
        <f t="shared" si="9"/>
        <v>0</v>
      </c>
    </row>
    <row r="337">
      <c r="B337" s="32" t="str">
        <f>catalog!B449</f>
        <v/>
      </c>
      <c r="D337" s="41" t="str">
        <f>catalog!E449</f>
        <v/>
      </c>
      <c r="AB337" s="32">
        <f t="shared" si="9"/>
        <v>0</v>
      </c>
    </row>
    <row r="338">
      <c r="B338" s="32" t="str">
        <f>catalog!B450</f>
        <v/>
      </c>
      <c r="D338" s="41" t="str">
        <f>catalog!E450</f>
        <v/>
      </c>
      <c r="AB338" s="32">
        <f t="shared" si="9"/>
        <v>0</v>
      </c>
    </row>
    <row r="339">
      <c r="B339" s="32" t="str">
        <f>catalog!B451</f>
        <v/>
      </c>
      <c r="D339" s="41" t="str">
        <f>catalog!E451</f>
        <v/>
      </c>
      <c r="AB339" s="32">
        <f t="shared" si="9"/>
        <v>0</v>
      </c>
    </row>
    <row r="340">
      <c r="B340" s="32" t="str">
        <f>catalog!B452</f>
        <v/>
      </c>
      <c r="D340" s="41" t="str">
        <f>catalog!E452</f>
        <v/>
      </c>
      <c r="AB340" s="32">
        <f t="shared" si="9"/>
        <v>0</v>
      </c>
    </row>
    <row r="341">
      <c r="B341" s="32" t="str">
        <f>catalog!B453</f>
        <v/>
      </c>
      <c r="D341" s="41" t="str">
        <f>catalog!E453</f>
        <v/>
      </c>
      <c r="AB341" s="32">
        <f t="shared" si="9"/>
        <v>0</v>
      </c>
    </row>
    <row r="342">
      <c r="B342" s="32" t="str">
        <f>catalog!B454</f>
        <v/>
      </c>
      <c r="D342" s="41" t="str">
        <f>catalog!E454</f>
        <v/>
      </c>
      <c r="AB342" s="32">
        <f t="shared" si="9"/>
        <v>0</v>
      </c>
    </row>
    <row r="343">
      <c r="B343" s="32" t="str">
        <f>catalog!B455</f>
        <v/>
      </c>
      <c r="D343" s="41" t="str">
        <f>catalog!E455</f>
        <v/>
      </c>
      <c r="AB343" s="32">
        <f t="shared" si="9"/>
        <v>0</v>
      </c>
    </row>
    <row r="344">
      <c r="B344" s="32" t="str">
        <f>catalog!B456</f>
        <v/>
      </c>
      <c r="D344" s="41" t="str">
        <f>catalog!E456</f>
        <v/>
      </c>
      <c r="AB344" s="32">
        <f t="shared" si="9"/>
        <v>0</v>
      </c>
    </row>
    <row r="345">
      <c r="B345" s="32" t="str">
        <f>catalog!B457</f>
        <v/>
      </c>
      <c r="D345" s="41" t="str">
        <f>catalog!E457</f>
        <v/>
      </c>
      <c r="AB345" s="32">
        <f t="shared" si="9"/>
        <v>0</v>
      </c>
    </row>
    <row r="346">
      <c r="B346" s="32" t="str">
        <f>catalog!B458</f>
        <v/>
      </c>
      <c r="D346" s="41" t="str">
        <f>catalog!E458</f>
        <v/>
      </c>
      <c r="AB346" s="32">
        <f t="shared" si="9"/>
        <v>0</v>
      </c>
    </row>
    <row r="347">
      <c r="B347" s="32" t="str">
        <f>catalog!B459</f>
        <v/>
      </c>
      <c r="D347" s="41" t="str">
        <f>catalog!E459</f>
        <v/>
      </c>
      <c r="AB347" s="32">
        <f t="shared" si="9"/>
        <v>0</v>
      </c>
    </row>
    <row r="348">
      <c r="B348" s="32" t="str">
        <f>catalog!B460</f>
        <v/>
      </c>
      <c r="D348" s="41" t="str">
        <f>catalog!E460</f>
        <v/>
      </c>
      <c r="AB348" s="32">
        <f t="shared" si="9"/>
        <v>0</v>
      </c>
    </row>
    <row r="349">
      <c r="B349" s="32" t="str">
        <f>catalog!B461</f>
        <v/>
      </c>
      <c r="D349" s="41" t="str">
        <f>catalog!E461</f>
        <v/>
      </c>
      <c r="AB349" s="32">
        <f t="shared" si="9"/>
        <v>0</v>
      </c>
    </row>
    <row r="350">
      <c r="B350" s="32" t="str">
        <f>catalog!B462</f>
        <v/>
      </c>
      <c r="D350" s="41" t="str">
        <f>catalog!E462</f>
        <v/>
      </c>
      <c r="AB350" s="32">
        <f t="shared" si="9"/>
        <v>0</v>
      </c>
    </row>
    <row r="351">
      <c r="B351" s="32" t="str">
        <f>catalog!B463</f>
        <v/>
      </c>
      <c r="D351" s="41" t="str">
        <f>catalog!E463</f>
        <v/>
      </c>
      <c r="AB351" s="32">
        <f t="shared" si="9"/>
        <v>0</v>
      </c>
    </row>
    <row r="352">
      <c r="B352" s="32" t="str">
        <f>catalog!B464</f>
        <v/>
      </c>
      <c r="D352" s="41" t="str">
        <f>catalog!E464</f>
        <v/>
      </c>
      <c r="AB352" s="32">
        <f t="shared" si="9"/>
        <v>0</v>
      </c>
    </row>
    <row r="353">
      <c r="B353" s="32" t="str">
        <f>catalog!B465</f>
        <v/>
      </c>
      <c r="D353" s="41" t="str">
        <f>catalog!E465</f>
        <v/>
      </c>
      <c r="AB353" s="32">
        <f t="shared" si="9"/>
        <v>0</v>
      </c>
    </row>
    <row r="354">
      <c r="B354" s="32" t="str">
        <f>catalog!B466</f>
        <v/>
      </c>
      <c r="D354" s="41" t="str">
        <f>catalog!E466</f>
        <v/>
      </c>
      <c r="AB354" s="32">
        <f t="shared" si="9"/>
        <v>0</v>
      </c>
    </row>
    <row r="355">
      <c r="B355" s="32" t="str">
        <f>catalog!B467</f>
        <v/>
      </c>
      <c r="D355" s="41" t="str">
        <f>catalog!E467</f>
        <v/>
      </c>
      <c r="AB355" s="32">
        <f t="shared" si="9"/>
        <v>0</v>
      </c>
    </row>
    <row r="356">
      <c r="B356" s="32" t="str">
        <f>catalog!B468</f>
        <v/>
      </c>
      <c r="D356" s="41" t="str">
        <f>catalog!E468</f>
        <v/>
      </c>
      <c r="AB356" s="32">
        <f t="shared" si="9"/>
        <v>0</v>
      </c>
    </row>
    <row r="357">
      <c r="B357" s="32" t="str">
        <f>catalog!B469</f>
        <v/>
      </c>
      <c r="D357" s="41" t="str">
        <f>catalog!E469</f>
        <v/>
      </c>
      <c r="AB357" s="32">
        <f t="shared" si="9"/>
        <v>0</v>
      </c>
    </row>
    <row r="358">
      <c r="B358" s="32" t="str">
        <f>catalog!B470</f>
        <v/>
      </c>
      <c r="D358" s="41" t="str">
        <f>catalog!E470</f>
        <v/>
      </c>
      <c r="AB358" s="32">
        <f t="shared" si="9"/>
        <v>0</v>
      </c>
    </row>
    <row r="359">
      <c r="B359" s="32" t="str">
        <f>catalog!B471</f>
        <v/>
      </c>
      <c r="D359" s="41" t="str">
        <f>catalog!E471</f>
        <v/>
      </c>
      <c r="AB359" s="32">
        <f t="shared" si="9"/>
        <v>0</v>
      </c>
    </row>
    <row r="360">
      <c r="B360" s="32" t="str">
        <f>catalog!B472</f>
        <v/>
      </c>
      <c r="D360" s="41" t="str">
        <f>catalog!E472</f>
        <v/>
      </c>
      <c r="AB360" s="32">
        <f t="shared" si="9"/>
        <v>0</v>
      </c>
    </row>
    <row r="361">
      <c r="B361" s="32" t="str">
        <f>catalog!B473</f>
        <v/>
      </c>
      <c r="D361" s="41" t="str">
        <f>catalog!E473</f>
        <v/>
      </c>
      <c r="AB361" s="32">
        <f t="shared" si="9"/>
        <v>0</v>
      </c>
    </row>
    <row r="362">
      <c r="B362" s="32" t="str">
        <f>catalog!B474</f>
        <v/>
      </c>
      <c r="D362" s="41" t="str">
        <f>catalog!E474</f>
        <v/>
      </c>
      <c r="AB362" s="32">
        <f t="shared" si="9"/>
        <v>0</v>
      </c>
    </row>
    <row r="363">
      <c r="B363" s="32" t="str">
        <f>catalog!B475</f>
        <v/>
      </c>
      <c r="D363" s="41" t="str">
        <f>catalog!E475</f>
        <v/>
      </c>
      <c r="AB363" s="32">
        <f t="shared" si="9"/>
        <v>0</v>
      </c>
    </row>
    <row r="364">
      <c r="B364" s="32" t="str">
        <f>catalog!B476</f>
        <v/>
      </c>
      <c r="D364" s="41" t="str">
        <f>catalog!E476</f>
        <v/>
      </c>
      <c r="AB364" s="32">
        <f t="shared" si="9"/>
        <v>0</v>
      </c>
    </row>
    <row r="365">
      <c r="B365" s="32" t="str">
        <f>catalog!B477</f>
        <v/>
      </c>
      <c r="D365" s="41" t="str">
        <f>catalog!E477</f>
        <v/>
      </c>
      <c r="AB365" s="32">
        <f t="shared" si="9"/>
        <v>0</v>
      </c>
    </row>
    <row r="366">
      <c r="B366" s="32" t="str">
        <f>catalog!B478</f>
        <v/>
      </c>
      <c r="D366" s="41" t="str">
        <f>catalog!E478</f>
        <v/>
      </c>
      <c r="AB366" s="32">
        <f t="shared" si="9"/>
        <v>0</v>
      </c>
    </row>
    <row r="367">
      <c r="B367" s="32" t="str">
        <f>catalog!B479</f>
        <v/>
      </c>
      <c r="D367" s="41" t="str">
        <f>catalog!E479</f>
        <v/>
      </c>
      <c r="AB367" s="32">
        <f t="shared" si="9"/>
        <v>0</v>
      </c>
    </row>
    <row r="368">
      <c r="B368" s="32" t="str">
        <f>catalog!B480</f>
        <v/>
      </c>
      <c r="D368" s="41" t="str">
        <f>catalog!E480</f>
        <v/>
      </c>
      <c r="AB368" s="32">
        <f t="shared" si="9"/>
        <v>0</v>
      </c>
    </row>
    <row r="369">
      <c r="B369" s="32" t="str">
        <f>catalog!B481</f>
        <v/>
      </c>
      <c r="D369" s="41" t="str">
        <f>catalog!E481</f>
        <v/>
      </c>
      <c r="AB369" s="32">
        <f t="shared" si="9"/>
        <v>0</v>
      </c>
    </row>
    <row r="370">
      <c r="B370" s="32" t="str">
        <f>catalog!B482</f>
        <v/>
      </c>
      <c r="D370" s="41" t="str">
        <f>catalog!E482</f>
        <v/>
      </c>
      <c r="AB370" s="32">
        <f t="shared" si="9"/>
        <v>0</v>
      </c>
    </row>
    <row r="371">
      <c r="B371" s="32" t="str">
        <f>catalog!B483</f>
        <v/>
      </c>
      <c r="D371" s="41" t="str">
        <f>catalog!E483</f>
        <v/>
      </c>
      <c r="AB371" s="32">
        <f t="shared" si="9"/>
        <v>0</v>
      </c>
    </row>
    <row r="372">
      <c r="B372" s="32" t="str">
        <f>catalog!B484</f>
        <v/>
      </c>
      <c r="D372" s="41" t="str">
        <f>catalog!E484</f>
        <v/>
      </c>
      <c r="AB372" s="32">
        <f t="shared" si="9"/>
        <v>0</v>
      </c>
    </row>
    <row r="373">
      <c r="B373" s="32" t="str">
        <f>catalog!B485</f>
        <v/>
      </c>
      <c r="D373" s="41" t="str">
        <f>catalog!E485</f>
        <v/>
      </c>
      <c r="AB373" s="32">
        <f t="shared" si="9"/>
        <v>0</v>
      </c>
    </row>
    <row r="374">
      <c r="B374" s="32" t="str">
        <f>catalog!B486</f>
        <v/>
      </c>
      <c r="D374" s="41" t="str">
        <f>catalog!E486</f>
        <v/>
      </c>
      <c r="AB374" s="32">
        <f t="shared" si="9"/>
        <v>0</v>
      </c>
    </row>
    <row r="375">
      <c r="B375" s="32" t="str">
        <f>catalog!B487</f>
        <v/>
      </c>
      <c r="D375" s="41" t="str">
        <f>catalog!E487</f>
        <v/>
      </c>
      <c r="AB375" s="32">
        <f t="shared" si="9"/>
        <v>0</v>
      </c>
    </row>
    <row r="376">
      <c r="B376" s="32" t="str">
        <f>catalog!B488</f>
        <v/>
      </c>
      <c r="D376" s="41" t="str">
        <f>catalog!E488</f>
        <v/>
      </c>
      <c r="AB376" s="32">
        <f t="shared" si="9"/>
        <v>0</v>
      </c>
    </row>
    <row r="377">
      <c r="B377" s="32" t="str">
        <f>catalog!B489</f>
        <v/>
      </c>
      <c r="D377" s="41" t="str">
        <f>catalog!E489</f>
        <v/>
      </c>
      <c r="AB377" s="32">
        <f t="shared" si="9"/>
        <v>0</v>
      </c>
    </row>
    <row r="378">
      <c r="B378" s="32" t="str">
        <f>catalog!B490</f>
        <v/>
      </c>
      <c r="D378" s="41" t="str">
        <f>catalog!E490</f>
        <v/>
      </c>
      <c r="AB378" s="32">
        <f t="shared" si="9"/>
        <v>0</v>
      </c>
    </row>
    <row r="379">
      <c r="B379" s="32" t="str">
        <f>catalog!B491</f>
        <v/>
      </c>
      <c r="D379" s="41" t="str">
        <f>catalog!E491</f>
        <v/>
      </c>
      <c r="AB379" s="32">
        <f t="shared" si="9"/>
        <v>0</v>
      </c>
    </row>
    <row r="380">
      <c r="B380" s="32" t="str">
        <f>catalog!B492</f>
        <v/>
      </c>
      <c r="D380" s="41" t="str">
        <f>catalog!E492</f>
        <v/>
      </c>
      <c r="AB380" s="32">
        <f t="shared" si="9"/>
        <v>0</v>
      </c>
    </row>
    <row r="381">
      <c r="B381" s="32" t="str">
        <f>catalog!B493</f>
        <v/>
      </c>
      <c r="D381" s="41" t="str">
        <f>catalog!E493</f>
        <v/>
      </c>
      <c r="AB381" s="32">
        <f t="shared" si="9"/>
        <v>0</v>
      </c>
    </row>
    <row r="382">
      <c r="B382" s="32" t="str">
        <f>catalog!B494</f>
        <v/>
      </c>
      <c r="D382" s="41" t="str">
        <f>catalog!E494</f>
        <v/>
      </c>
      <c r="AB382" s="32">
        <f t="shared" si="9"/>
        <v>0</v>
      </c>
    </row>
    <row r="383">
      <c r="B383" s="32" t="str">
        <f>catalog!B495</f>
        <v/>
      </c>
      <c r="D383" s="41" t="str">
        <f>catalog!E495</f>
        <v/>
      </c>
      <c r="AB383" s="32">
        <f t="shared" si="9"/>
        <v>0</v>
      </c>
    </row>
    <row r="384">
      <c r="B384" s="32" t="str">
        <f>catalog!B496</f>
        <v/>
      </c>
      <c r="D384" s="41" t="str">
        <f>catalog!E496</f>
        <v/>
      </c>
      <c r="AB384" s="32">
        <f t="shared" si="9"/>
        <v>0</v>
      </c>
    </row>
    <row r="385">
      <c r="B385" s="32" t="str">
        <f>catalog!B497</f>
        <v/>
      </c>
      <c r="D385" s="41" t="str">
        <f>catalog!E497</f>
        <v/>
      </c>
      <c r="AB385" s="32">
        <f t="shared" si="9"/>
        <v>0</v>
      </c>
    </row>
    <row r="386">
      <c r="B386" s="32" t="str">
        <f>catalog!B498</f>
        <v/>
      </c>
      <c r="D386" s="41" t="str">
        <f>catalog!E498</f>
        <v/>
      </c>
      <c r="AB386" s="32">
        <f t="shared" si="9"/>
        <v>0</v>
      </c>
    </row>
    <row r="387">
      <c r="B387" s="32" t="str">
        <f>catalog!B499</f>
        <v/>
      </c>
      <c r="D387" s="41" t="str">
        <f>catalog!E499</f>
        <v/>
      </c>
      <c r="AB387" s="32">
        <f t="shared" si="9"/>
        <v>0</v>
      </c>
    </row>
    <row r="388">
      <c r="B388" s="32" t="str">
        <f>catalog!B500</f>
        <v/>
      </c>
      <c r="D388" s="41" t="str">
        <f>catalog!E500</f>
        <v/>
      </c>
      <c r="AB388" s="32">
        <f t="shared" si="9"/>
        <v>0</v>
      </c>
    </row>
    <row r="389">
      <c r="B389" s="32" t="str">
        <f>catalog!B501</f>
        <v/>
      </c>
      <c r="D389" s="41" t="str">
        <f>catalog!E501</f>
        <v/>
      </c>
      <c r="AB389" s="32">
        <f t="shared" si="9"/>
        <v>0</v>
      </c>
    </row>
    <row r="390">
      <c r="B390" s="32" t="str">
        <f>catalog!B502</f>
        <v/>
      </c>
      <c r="D390" s="41" t="str">
        <f>catalog!E502</f>
        <v/>
      </c>
      <c r="AB390" s="32">
        <f t="shared" si="9"/>
        <v>0</v>
      </c>
    </row>
    <row r="391">
      <c r="B391" s="32" t="str">
        <f>catalog!B503</f>
        <v/>
      </c>
      <c r="D391" s="41" t="str">
        <f>catalog!E503</f>
        <v/>
      </c>
      <c r="AB391" s="32">
        <f t="shared" si="9"/>
        <v>0</v>
      </c>
    </row>
    <row r="392">
      <c r="B392" s="32" t="str">
        <f>catalog!B504</f>
        <v/>
      </c>
      <c r="D392" s="41" t="str">
        <f>catalog!E504</f>
        <v/>
      </c>
      <c r="AB392" s="32">
        <f t="shared" si="9"/>
        <v>0</v>
      </c>
    </row>
    <row r="393">
      <c r="B393" s="32" t="str">
        <f>catalog!B505</f>
        <v/>
      </c>
      <c r="D393" s="41" t="str">
        <f>catalog!E505</f>
        <v/>
      </c>
      <c r="AB393" s="32">
        <f t="shared" si="9"/>
        <v>0</v>
      </c>
    </row>
    <row r="394">
      <c r="B394" s="32" t="str">
        <f>catalog!B506</f>
        <v/>
      </c>
      <c r="D394" s="41" t="str">
        <f>catalog!E506</f>
        <v/>
      </c>
      <c r="AB394" s="32">
        <f t="shared" si="9"/>
        <v>0</v>
      </c>
    </row>
    <row r="395">
      <c r="B395" s="32" t="str">
        <f>catalog!B507</f>
        <v/>
      </c>
      <c r="D395" s="41" t="str">
        <f>catalog!E507</f>
        <v/>
      </c>
      <c r="AB395" s="32">
        <f t="shared" si="9"/>
        <v>0</v>
      </c>
    </row>
    <row r="396">
      <c r="B396" s="32" t="str">
        <f>catalog!B508</f>
        <v/>
      </c>
      <c r="D396" s="41" t="str">
        <f>catalog!E508</f>
        <v/>
      </c>
      <c r="AB396" s="32">
        <f t="shared" si="9"/>
        <v>0</v>
      </c>
    </row>
    <row r="397">
      <c r="B397" s="32" t="str">
        <f>catalog!B509</f>
        <v/>
      </c>
      <c r="D397" s="41" t="str">
        <f>catalog!E509</f>
        <v/>
      </c>
      <c r="AB397" s="32">
        <f t="shared" si="9"/>
        <v>0</v>
      </c>
    </row>
    <row r="398">
      <c r="B398" s="32" t="str">
        <f>catalog!B510</f>
        <v/>
      </c>
      <c r="D398" s="41" t="str">
        <f>catalog!E510</f>
        <v/>
      </c>
      <c r="AB398" s="32">
        <f t="shared" si="9"/>
        <v>0</v>
      </c>
    </row>
    <row r="399">
      <c r="B399" s="32" t="str">
        <f>catalog!B511</f>
        <v/>
      </c>
      <c r="D399" s="41" t="str">
        <f>catalog!E511</f>
        <v/>
      </c>
      <c r="AB399" s="32">
        <f t="shared" si="9"/>
        <v>0</v>
      </c>
    </row>
    <row r="400">
      <c r="B400" s="32" t="str">
        <f>catalog!B512</f>
        <v/>
      </c>
      <c r="D400" s="41" t="str">
        <f>catalog!E512</f>
        <v/>
      </c>
      <c r="AB400" s="32">
        <f t="shared" si="9"/>
        <v>0</v>
      </c>
    </row>
    <row r="401">
      <c r="B401" s="32" t="str">
        <f>catalog!B513</f>
        <v/>
      </c>
      <c r="D401" s="41" t="str">
        <f>catalog!E513</f>
        <v/>
      </c>
      <c r="AB401" s="32">
        <f t="shared" si="9"/>
        <v>0</v>
      </c>
    </row>
    <row r="402">
      <c r="B402" s="32" t="str">
        <f>catalog!B514</f>
        <v/>
      </c>
      <c r="D402" s="41" t="str">
        <f>catalog!E514</f>
        <v/>
      </c>
      <c r="AB402" s="32">
        <f t="shared" si="9"/>
        <v>0</v>
      </c>
    </row>
    <row r="403">
      <c r="B403" s="32" t="str">
        <f>catalog!B515</f>
        <v/>
      </c>
      <c r="D403" s="41" t="str">
        <f>catalog!E515</f>
        <v/>
      </c>
      <c r="AB403" s="32">
        <f t="shared" si="9"/>
        <v>0</v>
      </c>
    </row>
    <row r="404">
      <c r="B404" s="32" t="str">
        <f>catalog!B516</f>
        <v/>
      </c>
      <c r="D404" s="41" t="str">
        <f>catalog!E516</f>
        <v/>
      </c>
      <c r="AB404" s="32">
        <f t="shared" si="9"/>
        <v>0</v>
      </c>
    </row>
    <row r="405">
      <c r="B405" s="32" t="str">
        <f>catalog!B517</f>
        <v/>
      </c>
      <c r="D405" s="41" t="str">
        <f>catalog!E517</f>
        <v/>
      </c>
      <c r="AB405" s="32">
        <f t="shared" si="9"/>
        <v>0</v>
      </c>
    </row>
    <row r="406">
      <c r="B406" s="32" t="str">
        <f>catalog!B518</f>
        <v/>
      </c>
      <c r="D406" s="41" t="str">
        <f>catalog!E518</f>
        <v/>
      </c>
      <c r="AB406" s="32">
        <f t="shared" si="9"/>
        <v>0</v>
      </c>
    </row>
    <row r="407">
      <c r="B407" s="32" t="str">
        <f>catalog!B519</f>
        <v/>
      </c>
      <c r="D407" s="41" t="str">
        <f>catalog!E519</f>
        <v/>
      </c>
      <c r="AB407" s="32">
        <f t="shared" si="9"/>
        <v>0</v>
      </c>
    </row>
    <row r="408">
      <c r="B408" s="32" t="str">
        <f>catalog!B520</f>
        <v/>
      </c>
      <c r="D408" s="41" t="str">
        <f>catalog!E520</f>
        <v/>
      </c>
      <c r="AB408" s="32">
        <f t="shared" si="9"/>
        <v>0</v>
      </c>
    </row>
    <row r="409">
      <c r="B409" s="32" t="str">
        <f>catalog!B521</f>
        <v/>
      </c>
      <c r="D409" s="41" t="str">
        <f>catalog!E521</f>
        <v/>
      </c>
      <c r="AB409" s="32">
        <f t="shared" si="9"/>
        <v>0</v>
      </c>
    </row>
    <row r="410">
      <c r="B410" s="32" t="str">
        <f>catalog!B522</f>
        <v/>
      </c>
      <c r="D410" s="41" t="str">
        <f>catalog!E522</f>
        <v/>
      </c>
      <c r="AB410" s="32">
        <f t="shared" si="9"/>
        <v>0</v>
      </c>
    </row>
    <row r="411">
      <c r="B411" s="32" t="str">
        <f>catalog!B523</f>
        <v/>
      </c>
      <c r="D411" s="41" t="str">
        <f>catalog!E523</f>
        <v/>
      </c>
      <c r="AB411" s="32">
        <f t="shared" si="9"/>
        <v>0</v>
      </c>
    </row>
    <row r="412">
      <c r="B412" s="32" t="str">
        <f>catalog!B524</f>
        <v/>
      </c>
      <c r="D412" s="41" t="str">
        <f>catalog!E524</f>
        <v/>
      </c>
      <c r="AB412" s="32">
        <f t="shared" si="9"/>
        <v>0</v>
      </c>
    </row>
    <row r="413">
      <c r="B413" s="32" t="str">
        <f>catalog!B525</f>
        <v/>
      </c>
      <c r="D413" s="41" t="str">
        <f>catalog!E525</f>
        <v/>
      </c>
      <c r="AB413" s="32">
        <f t="shared" si="9"/>
        <v>0</v>
      </c>
    </row>
    <row r="414">
      <c r="B414" s="32" t="str">
        <f>catalog!B526</f>
        <v/>
      </c>
      <c r="D414" s="41" t="str">
        <f>catalog!E526</f>
        <v/>
      </c>
      <c r="AB414" s="32">
        <f t="shared" si="9"/>
        <v>0</v>
      </c>
    </row>
    <row r="415">
      <c r="B415" s="32" t="str">
        <f>catalog!B527</f>
        <v/>
      </c>
      <c r="D415" s="41" t="str">
        <f>catalog!E527</f>
        <v/>
      </c>
      <c r="AB415" s="32">
        <f t="shared" si="9"/>
        <v>0</v>
      </c>
    </row>
    <row r="416">
      <c r="B416" s="32" t="str">
        <f>catalog!B528</f>
        <v/>
      </c>
      <c r="D416" s="41" t="str">
        <f>catalog!E528</f>
        <v/>
      </c>
      <c r="AB416" s="32">
        <f t="shared" si="9"/>
        <v>0</v>
      </c>
    </row>
    <row r="417">
      <c r="B417" s="32" t="str">
        <f>catalog!B529</f>
        <v/>
      </c>
      <c r="D417" s="41" t="str">
        <f>catalog!E529</f>
        <v/>
      </c>
      <c r="AB417" s="32">
        <f t="shared" si="9"/>
        <v>0</v>
      </c>
    </row>
    <row r="418">
      <c r="B418" s="32" t="str">
        <f>catalog!B530</f>
        <v/>
      </c>
      <c r="D418" s="41" t="str">
        <f>catalog!E530</f>
        <v/>
      </c>
      <c r="AB418" s="32">
        <f t="shared" si="9"/>
        <v>0</v>
      </c>
    </row>
    <row r="419">
      <c r="B419" s="32" t="str">
        <f>catalog!B531</f>
        <v/>
      </c>
      <c r="D419" s="41" t="str">
        <f>catalog!E531</f>
        <v/>
      </c>
      <c r="AB419" s="32">
        <f t="shared" si="9"/>
        <v>0</v>
      </c>
    </row>
    <row r="420">
      <c r="B420" s="32" t="str">
        <f>catalog!B532</f>
        <v/>
      </c>
      <c r="D420" s="41" t="str">
        <f>catalog!E532</f>
        <v/>
      </c>
      <c r="AB420" s="32">
        <f t="shared" si="9"/>
        <v>0</v>
      </c>
    </row>
    <row r="421">
      <c r="B421" s="32" t="str">
        <f>catalog!B533</f>
        <v/>
      </c>
      <c r="D421" s="41" t="str">
        <f>catalog!E533</f>
        <v/>
      </c>
      <c r="AB421" s="32">
        <f t="shared" si="9"/>
        <v>0</v>
      </c>
    </row>
    <row r="422">
      <c r="B422" s="32" t="str">
        <f>catalog!B534</f>
        <v/>
      </c>
      <c r="D422" s="41" t="str">
        <f>catalog!E534</f>
        <v/>
      </c>
      <c r="AB422" s="32">
        <f t="shared" si="9"/>
        <v>0</v>
      </c>
    </row>
    <row r="423">
      <c r="B423" s="32" t="str">
        <f>catalog!B535</f>
        <v/>
      </c>
      <c r="D423" s="41" t="str">
        <f>catalog!E535</f>
        <v/>
      </c>
      <c r="AB423" s="32">
        <f t="shared" si="9"/>
        <v>0</v>
      </c>
    </row>
    <row r="424">
      <c r="B424" s="32" t="str">
        <f>catalog!B536</f>
        <v/>
      </c>
      <c r="D424" s="41" t="str">
        <f>catalog!E536</f>
        <v/>
      </c>
      <c r="AB424" s="32">
        <f t="shared" si="9"/>
        <v>0</v>
      </c>
    </row>
    <row r="425">
      <c r="B425" s="32" t="str">
        <f>catalog!B537</f>
        <v/>
      </c>
      <c r="D425" s="41" t="str">
        <f>catalog!E537</f>
        <v/>
      </c>
      <c r="AB425" s="32">
        <f t="shared" si="9"/>
        <v>0</v>
      </c>
    </row>
    <row r="426">
      <c r="B426" s="32" t="str">
        <f>catalog!B538</f>
        <v/>
      </c>
      <c r="D426" s="41" t="str">
        <f>catalog!E538</f>
        <v/>
      </c>
      <c r="AB426" s="32">
        <f t="shared" si="9"/>
        <v>0</v>
      </c>
    </row>
    <row r="427">
      <c r="B427" s="32" t="str">
        <f>catalog!B539</f>
        <v/>
      </c>
      <c r="D427" s="41" t="str">
        <f>catalog!E539</f>
        <v/>
      </c>
      <c r="AB427" s="32">
        <f t="shared" si="9"/>
        <v>0</v>
      </c>
    </row>
    <row r="428">
      <c r="B428" s="32" t="str">
        <f>catalog!B540</f>
        <v/>
      </c>
      <c r="D428" s="41" t="str">
        <f>catalog!E540</f>
        <v/>
      </c>
      <c r="AB428" s="32">
        <f t="shared" si="9"/>
        <v>0</v>
      </c>
    </row>
    <row r="429">
      <c r="B429" s="32" t="str">
        <f>catalog!B541</f>
        <v/>
      </c>
      <c r="D429" s="41" t="str">
        <f>catalog!E541</f>
        <v/>
      </c>
      <c r="AB429" s="32">
        <f t="shared" si="9"/>
        <v>0</v>
      </c>
    </row>
    <row r="430">
      <c r="B430" s="32" t="str">
        <f>catalog!B542</f>
        <v/>
      </c>
      <c r="D430" s="41" t="str">
        <f>catalog!E542</f>
        <v/>
      </c>
      <c r="AB430" s="32">
        <f t="shared" si="9"/>
        <v>0</v>
      </c>
    </row>
    <row r="431">
      <c r="B431" s="32" t="str">
        <f>catalog!B543</f>
        <v/>
      </c>
      <c r="D431" s="41" t="str">
        <f>catalog!E543</f>
        <v/>
      </c>
      <c r="AB431" s="32">
        <f t="shared" si="9"/>
        <v>0</v>
      </c>
    </row>
    <row r="432">
      <c r="B432" s="32" t="str">
        <f>catalog!B544</f>
        <v/>
      </c>
      <c r="D432" s="41" t="str">
        <f>catalog!E544</f>
        <v/>
      </c>
      <c r="AB432" s="32">
        <f t="shared" si="9"/>
        <v>0</v>
      </c>
    </row>
    <row r="433">
      <c r="B433" s="32" t="str">
        <f>catalog!B545</f>
        <v/>
      </c>
      <c r="D433" s="41" t="str">
        <f>catalog!E545</f>
        <v/>
      </c>
      <c r="AB433" s="32">
        <f t="shared" si="9"/>
        <v>0</v>
      </c>
    </row>
    <row r="434">
      <c r="B434" s="32" t="str">
        <f>catalog!B546</f>
        <v/>
      </c>
      <c r="D434" s="41" t="str">
        <f>catalog!E546</f>
        <v/>
      </c>
      <c r="AB434" s="32">
        <f t="shared" si="9"/>
        <v>0</v>
      </c>
    </row>
    <row r="435">
      <c r="B435" s="32" t="str">
        <f>catalog!B547</f>
        <v/>
      </c>
      <c r="D435" s="41" t="str">
        <f>catalog!E547</f>
        <v/>
      </c>
      <c r="AB435" s="32">
        <f t="shared" si="9"/>
        <v>0</v>
      </c>
    </row>
    <row r="436">
      <c r="B436" s="32" t="str">
        <f>catalog!B548</f>
        <v/>
      </c>
      <c r="D436" s="41" t="str">
        <f>catalog!E548</f>
        <v/>
      </c>
      <c r="AB436" s="32">
        <f t="shared" si="9"/>
        <v>0</v>
      </c>
    </row>
    <row r="437">
      <c r="B437" s="32" t="str">
        <f>catalog!B549</f>
        <v/>
      </c>
      <c r="D437" s="41" t="str">
        <f>catalog!E549</f>
        <v/>
      </c>
      <c r="AB437" s="32">
        <f t="shared" si="9"/>
        <v>0</v>
      </c>
    </row>
    <row r="438">
      <c r="B438" s="32" t="str">
        <f>catalog!B550</f>
        <v/>
      </c>
      <c r="D438" s="41" t="str">
        <f>catalog!E550</f>
        <v/>
      </c>
      <c r="AB438" s="32">
        <f t="shared" si="9"/>
        <v>0</v>
      </c>
    </row>
    <row r="439">
      <c r="B439" s="32" t="str">
        <f>catalog!B551</f>
        <v/>
      </c>
      <c r="D439" s="41" t="str">
        <f>catalog!E551</f>
        <v/>
      </c>
      <c r="AB439" s="32">
        <f t="shared" si="9"/>
        <v>0</v>
      </c>
    </row>
    <row r="440">
      <c r="B440" s="32" t="str">
        <f>catalog!B552</f>
        <v/>
      </c>
      <c r="D440" s="41" t="str">
        <f>catalog!E552</f>
        <v/>
      </c>
      <c r="AB440" s="32">
        <f t="shared" si="9"/>
        <v>0</v>
      </c>
    </row>
    <row r="441">
      <c r="B441" s="32" t="str">
        <f>catalog!B553</f>
        <v/>
      </c>
      <c r="D441" s="41" t="str">
        <f>catalog!E553</f>
        <v/>
      </c>
      <c r="AB441" s="32">
        <f t="shared" si="9"/>
        <v>0</v>
      </c>
    </row>
    <row r="442">
      <c r="B442" s="32" t="str">
        <f>catalog!B554</f>
        <v/>
      </c>
      <c r="D442" s="41" t="str">
        <f>catalog!E554</f>
        <v/>
      </c>
      <c r="AB442" s="32">
        <f t="shared" si="9"/>
        <v>0</v>
      </c>
    </row>
    <row r="443">
      <c r="B443" s="32" t="str">
        <f>catalog!B555</f>
        <v/>
      </c>
      <c r="D443" s="41" t="str">
        <f>catalog!E555</f>
        <v/>
      </c>
      <c r="AB443" s="32">
        <f t="shared" si="9"/>
        <v>0</v>
      </c>
    </row>
    <row r="444">
      <c r="B444" s="32" t="str">
        <f>catalog!B556</f>
        <v/>
      </c>
      <c r="D444" s="41" t="str">
        <f>catalog!E556</f>
        <v/>
      </c>
      <c r="AB444" s="32">
        <f t="shared" si="9"/>
        <v>0</v>
      </c>
    </row>
    <row r="445">
      <c r="B445" s="32" t="str">
        <f>catalog!B557</f>
        <v/>
      </c>
      <c r="D445" s="41" t="str">
        <f>catalog!E557</f>
        <v/>
      </c>
      <c r="AB445" s="32">
        <f t="shared" si="9"/>
        <v>0</v>
      </c>
    </row>
    <row r="446">
      <c r="B446" s="32" t="str">
        <f>catalog!B558</f>
        <v/>
      </c>
      <c r="D446" s="41" t="str">
        <f>catalog!E558</f>
        <v/>
      </c>
      <c r="AB446" s="32">
        <f t="shared" si="9"/>
        <v>0</v>
      </c>
    </row>
    <row r="447">
      <c r="B447" s="32" t="str">
        <f>catalog!B559</f>
        <v/>
      </c>
      <c r="D447" s="41" t="str">
        <f>catalog!E559</f>
        <v/>
      </c>
      <c r="AB447" s="32">
        <f t="shared" si="9"/>
        <v>0</v>
      </c>
    </row>
    <row r="448">
      <c r="B448" s="32" t="str">
        <f>catalog!B560</f>
        <v/>
      </c>
      <c r="D448" s="41" t="str">
        <f>catalog!E560</f>
        <v/>
      </c>
      <c r="AB448" s="32">
        <f t="shared" si="9"/>
        <v>0</v>
      </c>
    </row>
    <row r="449">
      <c r="B449" s="32" t="str">
        <f>catalog!B561</f>
        <v/>
      </c>
      <c r="D449" s="41" t="str">
        <f>catalog!E561</f>
        <v/>
      </c>
      <c r="AB449" s="32">
        <f t="shared" si="9"/>
        <v>0</v>
      </c>
    </row>
    <row r="450">
      <c r="B450" s="32" t="str">
        <f>catalog!B562</f>
        <v/>
      </c>
      <c r="D450" s="41" t="str">
        <f>catalog!E562</f>
        <v/>
      </c>
      <c r="AB450" s="32">
        <f t="shared" si="9"/>
        <v>0</v>
      </c>
    </row>
    <row r="451">
      <c r="B451" s="32" t="str">
        <f>catalog!B563</f>
        <v/>
      </c>
      <c r="D451" s="41" t="str">
        <f>catalog!E563</f>
        <v/>
      </c>
      <c r="AB451" s="32">
        <f t="shared" si="9"/>
        <v>0</v>
      </c>
    </row>
    <row r="452">
      <c r="B452" s="32" t="str">
        <f>catalog!B564</f>
        <v/>
      </c>
      <c r="D452" s="41" t="str">
        <f>catalog!E564</f>
        <v/>
      </c>
      <c r="AB452" s="32">
        <f t="shared" si="9"/>
        <v>0</v>
      </c>
    </row>
    <row r="453">
      <c r="B453" s="32" t="str">
        <f>catalog!B565</f>
        <v/>
      </c>
      <c r="D453" s="41" t="str">
        <f>catalog!E565</f>
        <v/>
      </c>
      <c r="AB453" s="32">
        <f t="shared" si="9"/>
        <v>0</v>
      </c>
    </row>
    <row r="454">
      <c r="B454" s="32" t="str">
        <f>catalog!B566</f>
        <v/>
      </c>
      <c r="D454" s="41" t="str">
        <f>catalog!E566</f>
        <v/>
      </c>
      <c r="AB454" s="32">
        <f t="shared" si="9"/>
        <v>0</v>
      </c>
    </row>
    <row r="455">
      <c r="B455" s="32" t="str">
        <f>catalog!B567</f>
        <v/>
      </c>
      <c r="D455" s="41" t="str">
        <f>catalog!E567</f>
        <v/>
      </c>
      <c r="AB455" s="32">
        <f t="shared" si="9"/>
        <v>0</v>
      </c>
    </row>
    <row r="456">
      <c r="B456" s="32" t="str">
        <f>catalog!B568</f>
        <v/>
      </c>
      <c r="D456" s="41" t="str">
        <f>catalog!E568</f>
        <v/>
      </c>
      <c r="AB456" s="32">
        <f t="shared" si="9"/>
        <v>0</v>
      </c>
    </row>
    <row r="457">
      <c r="B457" s="32" t="str">
        <f>catalog!B569</f>
        <v/>
      </c>
      <c r="D457" s="41" t="str">
        <f>catalog!E569</f>
        <v/>
      </c>
      <c r="AB457" s="32">
        <f t="shared" si="9"/>
        <v>0</v>
      </c>
    </row>
    <row r="458">
      <c r="B458" s="32" t="str">
        <f>catalog!B570</f>
        <v/>
      </c>
      <c r="D458" s="41" t="str">
        <f>catalog!E570</f>
        <v/>
      </c>
      <c r="AB458" s="32">
        <f t="shared" si="9"/>
        <v>0</v>
      </c>
    </row>
    <row r="459">
      <c r="B459" s="32" t="str">
        <f>catalog!B571</f>
        <v/>
      </c>
      <c r="D459" s="41" t="str">
        <f>catalog!E571</f>
        <v/>
      </c>
      <c r="AB459" s="32">
        <f t="shared" si="9"/>
        <v>0</v>
      </c>
    </row>
    <row r="460">
      <c r="B460" s="32" t="str">
        <f>catalog!B572</f>
        <v/>
      </c>
      <c r="D460" s="41" t="str">
        <f>catalog!E572</f>
        <v/>
      </c>
      <c r="AB460" s="32">
        <f t="shared" si="9"/>
        <v>0</v>
      </c>
    </row>
    <row r="461">
      <c r="B461" s="32" t="str">
        <f>catalog!B573</f>
        <v/>
      </c>
      <c r="D461" s="41" t="str">
        <f>catalog!E573</f>
        <v/>
      </c>
      <c r="AB461" s="32">
        <f t="shared" si="9"/>
        <v>0</v>
      </c>
    </row>
    <row r="462">
      <c r="B462" s="32" t="str">
        <f>catalog!B574</f>
        <v/>
      </c>
      <c r="D462" s="41" t="str">
        <f>catalog!E574</f>
        <v/>
      </c>
      <c r="AB462" s="32">
        <f t="shared" si="9"/>
        <v>0</v>
      </c>
    </row>
    <row r="463">
      <c r="B463" s="32" t="str">
        <f>catalog!B575</f>
        <v/>
      </c>
      <c r="D463" s="41" t="str">
        <f>catalog!E575</f>
        <v/>
      </c>
      <c r="AB463" s="32">
        <f t="shared" si="9"/>
        <v>0</v>
      </c>
    </row>
    <row r="464">
      <c r="B464" s="32" t="str">
        <f>catalog!B576</f>
        <v/>
      </c>
      <c r="D464" s="41" t="str">
        <f>catalog!E576</f>
        <v/>
      </c>
      <c r="AB464" s="32">
        <f t="shared" si="9"/>
        <v>0</v>
      </c>
    </row>
    <row r="465">
      <c r="B465" s="32" t="str">
        <f>catalog!B577</f>
        <v/>
      </c>
      <c r="D465" s="41" t="str">
        <f>catalog!E577</f>
        <v/>
      </c>
      <c r="AB465" s="32">
        <f t="shared" si="9"/>
        <v>0</v>
      </c>
    </row>
    <row r="466">
      <c r="B466" s="32" t="str">
        <f>catalog!B578</f>
        <v/>
      </c>
      <c r="D466" s="41" t="str">
        <f>catalog!E578</f>
        <v/>
      </c>
      <c r="AB466" s="32">
        <f t="shared" si="9"/>
        <v>0</v>
      </c>
    </row>
    <row r="467">
      <c r="B467" s="32" t="str">
        <f>catalog!B579</f>
        <v/>
      </c>
      <c r="D467" s="41" t="str">
        <f>catalog!E579</f>
        <v/>
      </c>
      <c r="AB467" s="32">
        <f t="shared" si="9"/>
        <v>0</v>
      </c>
    </row>
    <row r="468">
      <c r="B468" s="32" t="str">
        <f>catalog!B580</f>
        <v/>
      </c>
      <c r="D468" s="41" t="str">
        <f>catalog!E580</f>
        <v/>
      </c>
      <c r="AB468" s="32">
        <f t="shared" si="9"/>
        <v>0</v>
      </c>
    </row>
    <row r="469">
      <c r="B469" s="32" t="str">
        <f>catalog!B581</f>
        <v/>
      </c>
      <c r="D469" s="41" t="str">
        <f>catalog!E581</f>
        <v/>
      </c>
      <c r="AB469" s="32">
        <f t="shared" si="9"/>
        <v>0</v>
      </c>
    </row>
    <row r="470">
      <c r="B470" s="32" t="str">
        <f>catalog!B582</f>
        <v/>
      </c>
      <c r="D470" s="41" t="str">
        <f>catalog!E582</f>
        <v/>
      </c>
      <c r="AB470" s="32">
        <f t="shared" si="9"/>
        <v>0</v>
      </c>
    </row>
    <row r="471">
      <c r="B471" s="32" t="str">
        <f>catalog!B583</f>
        <v/>
      </c>
      <c r="D471" s="41" t="str">
        <f>catalog!E583</f>
        <v/>
      </c>
      <c r="AB471" s="32">
        <f t="shared" si="9"/>
        <v>0</v>
      </c>
    </row>
    <row r="472">
      <c r="B472" s="32" t="str">
        <f>catalog!B584</f>
        <v/>
      </c>
      <c r="D472" s="41" t="str">
        <f>catalog!E584</f>
        <v/>
      </c>
      <c r="AB472" s="32">
        <f t="shared" si="9"/>
        <v>0</v>
      </c>
    </row>
    <row r="473">
      <c r="B473" s="32" t="str">
        <f>catalog!B585</f>
        <v/>
      </c>
      <c r="D473" s="41" t="str">
        <f>catalog!E585</f>
        <v/>
      </c>
      <c r="AB473" s="32">
        <f t="shared" si="9"/>
        <v>0</v>
      </c>
    </row>
    <row r="474">
      <c r="B474" s="32" t="str">
        <f>catalog!B586</f>
        <v/>
      </c>
      <c r="D474" s="41" t="str">
        <f>catalog!E586</f>
        <v/>
      </c>
      <c r="AB474" s="32">
        <f t="shared" si="9"/>
        <v>0</v>
      </c>
    </row>
    <row r="475">
      <c r="B475" s="32" t="str">
        <f>catalog!B587</f>
        <v/>
      </c>
      <c r="D475" s="41" t="str">
        <f>catalog!E587</f>
        <v/>
      </c>
      <c r="AB475" s="32">
        <f t="shared" si="9"/>
        <v>0</v>
      </c>
    </row>
    <row r="476">
      <c r="B476" s="32" t="str">
        <f>catalog!B588</f>
        <v/>
      </c>
      <c r="D476" s="41" t="str">
        <f>catalog!E588</f>
        <v/>
      </c>
      <c r="AB476" s="32">
        <f t="shared" si="9"/>
        <v>0</v>
      </c>
    </row>
    <row r="477">
      <c r="B477" s="32" t="str">
        <f>catalog!B589</f>
        <v/>
      </c>
      <c r="D477" s="41" t="str">
        <f>catalog!E589</f>
        <v/>
      </c>
      <c r="AB477" s="32">
        <f t="shared" si="9"/>
        <v>0</v>
      </c>
    </row>
    <row r="478">
      <c r="B478" s="32" t="str">
        <f>catalog!B590</f>
        <v/>
      </c>
      <c r="D478" s="41" t="str">
        <f>catalog!E590</f>
        <v/>
      </c>
      <c r="AB478" s="32">
        <f t="shared" si="9"/>
        <v>0</v>
      </c>
    </row>
    <row r="479">
      <c r="B479" s="32" t="str">
        <f>catalog!B591</f>
        <v/>
      </c>
      <c r="D479" s="41" t="str">
        <f>catalog!E591</f>
        <v/>
      </c>
      <c r="AB479" s="32">
        <f t="shared" si="9"/>
        <v>0</v>
      </c>
    </row>
    <row r="480">
      <c r="B480" s="32" t="str">
        <f>catalog!B592</f>
        <v/>
      </c>
      <c r="D480" s="41" t="str">
        <f>catalog!E592</f>
        <v/>
      </c>
      <c r="AB480" s="32">
        <f t="shared" si="9"/>
        <v>0</v>
      </c>
    </row>
    <row r="481">
      <c r="B481" s="32" t="str">
        <f>catalog!B593</f>
        <v/>
      </c>
      <c r="D481" s="41" t="str">
        <f>catalog!E593</f>
        <v/>
      </c>
      <c r="AB481" s="32">
        <f t="shared" si="9"/>
        <v>0</v>
      </c>
    </row>
    <row r="482">
      <c r="B482" s="32" t="str">
        <f>catalog!B594</f>
        <v/>
      </c>
      <c r="D482" s="41" t="str">
        <f>catalog!E594</f>
        <v/>
      </c>
      <c r="AB482" s="32">
        <f t="shared" si="9"/>
        <v>0</v>
      </c>
    </row>
    <row r="483">
      <c r="B483" s="32" t="str">
        <f>catalog!B595</f>
        <v/>
      </c>
      <c r="D483" s="41" t="str">
        <f>catalog!E595</f>
        <v/>
      </c>
      <c r="AB483" s="32">
        <f t="shared" si="9"/>
        <v>0</v>
      </c>
    </row>
    <row r="484">
      <c r="B484" s="32" t="str">
        <f>catalog!B596</f>
        <v/>
      </c>
      <c r="D484" s="41" t="str">
        <f>catalog!E596</f>
        <v/>
      </c>
      <c r="AB484" s="32">
        <f t="shared" si="9"/>
        <v>0</v>
      </c>
    </row>
    <row r="485">
      <c r="B485" s="32" t="str">
        <f>catalog!B597</f>
        <v/>
      </c>
      <c r="D485" s="41" t="str">
        <f>catalog!E597</f>
        <v/>
      </c>
      <c r="AB485" s="32">
        <f t="shared" si="9"/>
        <v>0</v>
      </c>
    </row>
    <row r="486">
      <c r="B486" s="32" t="str">
        <f>catalog!B598</f>
        <v/>
      </c>
      <c r="D486" s="41" t="str">
        <f>catalog!E598</f>
        <v/>
      </c>
      <c r="AB486" s="32">
        <f t="shared" si="9"/>
        <v>0</v>
      </c>
    </row>
    <row r="487">
      <c r="B487" s="32" t="str">
        <f>catalog!B599</f>
        <v/>
      </c>
      <c r="D487" s="41" t="str">
        <f>catalog!E599</f>
        <v/>
      </c>
      <c r="AB487" s="32">
        <f t="shared" si="9"/>
        <v>0</v>
      </c>
    </row>
    <row r="488">
      <c r="B488" s="32" t="str">
        <f>catalog!B600</f>
        <v/>
      </c>
      <c r="D488" s="41" t="str">
        <f>catalog!E600</f>
        <v/>
      </c>
      <c r="AB488" s="32">
        <f t="shared" si="9"/>
        <v>0</v>
      </c>
    </row>
    <row r="489">
      <c r="B489" s="32" t="str">
        <f>catalog!B601</f>
        <v/>
      </c>
      <c r="D489" s="41" t="str">
        <f>catalog!E601</f>
        <v/>
      </c>
      <c r="AB489" s="32">
        <f t="shared" si="9"/>
        <v>0</v>
      </c>
    </row>
    <row r="490">
      <c r="B490" s="32" t="str">
        <f>catalog!B602</f>
        <v/>
      </c>
      <c r="D490" s="41" t="str">
        <f>catalog!E602</f>
        <v/>
      </c>
      <c r="AB490" s="32">
        <f t="shared" si="9"/>
        <v>0</v>
      </c>
    </row>
    <row r="491">
      <c r="B491" s="32" t="str">
        <f>catalog!B603</f>
        <v/>
      </c>
      <c r="D491" s="41" t="str">
        <f>catalog!E603</f>
        <v/>
      </c>
      <c r="AB491" s="32">
        <f t="shared" si="9"/>
        <v>0</v>
      </c>
    </row>
    <row r="492">
      <c r="B492" s="32" t="str">
        <f>catalog!B604</f>
        <v/>
      </c>
      <c r="D492" s="41" t="str">
        <f>catalog!E604</f>
        <v/>
      </c>
      <c r="AB492" s="32">
        <f t="shared" si="9"/>
        <v>0</v>
      </c>
    </row>
    <row r="493">
      <c r="B493" s="32" t="str">
        <f>catalog!B605</f>
        <v/>
      </c>
      <c r="D493" s="41" t="str">
        <f>catalog!E605</f>
        <v/>
      </c>
      <c r="AB493" s="32">
        <f t="shared" si="9"/>
        <v>0</v>
      </c>
    </row>
    <row r="494">
      <c r="B494" s="32" t="str">
        <f>catalog!B606</f>
        <v/>
      </c>
      <c r="D494" s="41" t="str">
        <f>catalog!E606</f>
        <v/>
      </c>
      <c r="AB494" s="32">
        <f t="shared" si="9"/>
        <v>0</v>
      </c>
    </row>
    <row r="495">
      <c r="B495" s="32" t="str">
        <f>catalog!B607</f>
        <v/>
      </c>
      <c r="D495" s="41" t="str">
        <f>catalog!E607</f>
        <v/>
      </c>
      <c r="AB495" s="32">
        <f t="shared" si="9"/>
        <v>0</v>
      </c>
    </row>
    <row r="496">
      <c r="B496" s="32" t="str">
        <f>catalog!B608</f>
        <v/>
      </c>
      <c r="D496" s="41" t="str">
        <f>catalog!E608</f>
        <v/>
      </c>
      <c r="AB496" s="32">
        <f t="shared" si="9"/>
        <v>0</v>
      </c>
    </row>
    <row r="497">
      <c r="B497" s="32" t="str">
        <f>catalog!B609</f>
        <v/>
      </c>
      <c r="D497" s="41" t="str">
        <f>catalog!E609</f>
        <v/>
      </c>
      <c r="AB497" s="32">
        <f t="shared" si="9"/>
        <v>0</v>
      </c>
    </row>
    <row r="498">
      <c r="B498" s="32" t="str">
        <f>catalog!B610</f>
        <v/>
      </c>
      <c r="D498" s="41" t="str">
        <f>catalog!E610</f>
        <v/>
      </c>
      <c r="AB498" s="32">
        <f t="shared" si="9"/>
        <v>0</v>
      </c>
    </row>
    <row r="499">
      <c r="B499" s="32" t="str">
        <f>catalog!B611</f>
        <v/>
      </c>
      <c r="D499" s="41" t="str">
        <f>catalog!E611</f>
        <v/>
      </c>
      <c r="AB499" s="32">
        <f t="shared" si="9"/>
        <v>0</v>
      </c>
    </row>
    <row r="500">
      <c r="B500" s="32" t="str">
        <f>catalog!B612</f>
        <v/>
      </c>
      <c r="D500" s="41" t="str">
        <f>catalog!E612</f>
        <v/>
      </c>
      <c r="AB500" s="32">
        <f t="shared" si="9"/>
        <v>0</v>
      </c>
    </row>
    <row r="501">
      <c r="B501" s="32" t="str">
        <f>catalog!B613</f>
        <v/>
      </c>
      <c r="D501" s="41" t="str">
        <f>catalog!E613</f>
        <v/>
      </c>
      <c r="AB501" s="32">
        <f t="shared" si="9"/>
        <v>0</v>
      </c>
    </row>
    <row r="502">
      <c r="B502" s="32" t="str">
        <f>catalog!B614</f>
        <v/>
      </c>
      <c r="D502" s="41" t="str">
        <f>catalog!E614</f>
        <v/>
      </c>
      <c r="AB502" s="32">
        <f t="shared" si="9"/>
        <v>0</v>
      </c>
    </row>
    <row r="503">
      <c r="B503" s="32" t="str">
        <f>catalog!B615</f>
        <v/>
      </c>
      <c r="D503" s="41" t="str">
        <f>catalog!E615</f>
        <v/>
      </c>
      <c r="AB503" s="32">
        <f t="shared" si="9"/>
        <v>0</v>
      </c>
    </row>
    <row r="504">
      <c r="B504" s="32" t="str">
        <f>catalog!B616</f>
        <v/>
      </c>
      <c r="D504" s="41" t="str">
        <f>catalog!E616</f>
        <v/>
      </c>
      <c r="AB504" s="32">
        <f t="shared" si="9"/>
        <v>0</v>
      </c>
    </row>
    <row r="505">
      <c r="B505" s="32" t="str">
        <f>catalog!B617</f>
        <v/>
      </c>
      <c r="D505" s="41" t="str">
        <f>catalog!E617</f>
        <v/>
      </c>
      <c r="AB505" s="32">
        <f t="shared" si="9"/>
        <v>0</v>
      </c>
    </row>
    <row r="506">
      <c r="B506" s="32" t="str">
        <f>catalog!B618</f>
        <v/>
      </c>
      <c r="D506" s="41" t="str">
        <f>catalog!E618</f>
        <v/>
      </c>
      <c r="AB506" s="32">
        <f t="shared" si="9"/>
        <v>0</v>
      </c>
    </row>
    <row r="507">
      <c r="B507" s="32" t="str">
        <f>catalog!B619</f>
        <v/>
      </c>
      <c r="D507" s="41" t="str">
        <f>catalog!E619</f>
        <v/>
      </c>
      <c r="AB507" s="32">
        <f t="shared" si="9"/>
        <v>0</v>
      </c>
    </row>
    <row r="508">
      <c r="B508" s="32" t="str">
        <f>catalog!B620</f>
        <v/>
      </c>
      <c r="D508" s="41" t="str">
        <f>catalog!E620</f>
        <v/>
      </c>
      <c r="AB508" s="32">
        <f t="shared" si="9"/>
        <v>0</v>
      </c>
    </row>
    <row r="509">
      <c r="B509" s="32" t="str">
        <f>catalog!B621</f>
        <v/>
      </c>
      <c r="D509" s="41" t="str">
        <f>catalog!E621</f>
        <v/>
      </c>
      <c r="AB509" s="32">
        <f t="shared" si="9"/>
        <v>0</v>
      </c>
    </row>
    <row r="510">
      <c r="B510" s="32" t="str">
        <f>catalog!B622</f>
        <v/>
      </c>
      <c r="D510" s="41" t="str">
        <f>catalog!E622</f>
        <v/>
      </c>
      <c r="AB510" s="32">
        <f t="shared" si="9"/>
        <v>0</v>
      </c>
    </row>
    <row r="511">
      <c r="B511" s="32" t="str">
        <f>catalog!B623</f>
        <v/>
      </c>
      <c r="D511" s="41" t="str">
        <f>catalog!E623</f>
        <v/>
      </c>
      <c r="AB511" s="32">
        <f t="shared" si="9"/>
        <v>0</v>
      </c>
    </row>
    <row r="512">
      <c r="B512" s="32" t="str">
        <f>catalog!B624</f>
        <v/>
      </c>
      <c r="D512" s="41" t="str">
        <f>catalog!E624</f>
        <v/>
      </c>
      <c r="AB512" s="32">
        <f t="shared" si="9"/>
        <v>0</v>
      </c>
    </row>
    <row r="513">
      <c r="B513" s="32" t="str">
        <f>catalog!B625</f>
        <v/>
      </c>
      <c r="D513" s="41" t="str">
        <f>catalog!E625</f>
        <v/>
      </c>
      <c r="AB513" s="32">
        <f t="shared" si="9"/>
        <v>0</v>
      </c>
    </row>
    <row r="514">
      <c r="B514" s="32" t="str">
        <f>catalog!B626</f>
        <v/>
      </c>
      <c r="D514" s="41" t="str">
        <f>catalog!E626</f>
        <v/>
      </c>
      <c r="AB514" s="32">
        <f t="shared" si="9"/>
        <v>0</v>
      </c>
    </row>
    <row r="515">
      <c r="B515" s="32" t="str">
        <f>catalog!B627</f>
        <v/>
      </c>
      <c r="D515" s="41" t="str">
        <f>catalog!E627</f>
        <v/>
      </c>
      <c r="AB515" s="32">
        <f t="shared" si="9"/>
        <v>0</v>
      </c>
    </row>
    <row r="516">
      <c r="B516" s="32" t="str">
        <f>catalog!B628</f>
        <v/>
      </c>
      <c r="D516" s="41" t="str">
        <f>catalog!E628</f>
        <v/>
      </c>
      <c r="AB516" s="32">
        <f t="shared" si="9"/>
        <v>0</v>
      </c>
    </row>
    <row r="517">
      <c r="B517" s="32" t="str">
        <f>catalog!B629</f>
        <v/>
      </c>
      <c r="D517" s="41" t="str">
        <f>catalog!E629</f>
        <v/>
      </c>
      <c r="AB517" s="32">
        <f t="shared" si="9"/>
        <v>0</v>
      </c>
    </row>
    <row r="518">
      <c r="B518" s="32" t="str">
        <f>catalog!B630</f>
        <v/>
      </c>
      <c r="D518" s="41" t="str">
        <f>catalog!E630</f>
        <v/>
      </c>
      <c r="AB518" s="32">
        <f t="shared" si="9"/>
        <v>0</v>
      </c>
    </row>
    <row r="519">
      <c r="B519" s="32" t="str">
        <f>catalog!B631</f>
        <v/>
      </c>
      <c r="D519" s="41" t="str">
        <f>catalog!E631</f>
        <v/>
      </c>
      <c r="AB519" s="32">
        <f t="shared" si="9"/>
        <v>0</v>
      </c>
    </row>
    <row r="520">
      <c r="B520" s="32" t="str">
        <f>catalog!B632</f>
        <v/>
      </c>
      <c r="D520" s="41" t="str">
        <f>catalog!E632</f>
        <v/>
      </c>
      <c r="AB520" s="32">
        <f t="shared" si="9"/>
        <v>0</v>
      </c>
    </row>
    <row r="521">
      <c r="B521" s="32" t="str">
        <f>catalog!B633</f>
        <v/>
      </c>
      <c r="D521" s="41" t="str">
        <f>catalog!E633</f>
        <v/>
      </c>
      <c r="AB521" s="32">
        <f t="shared" si="9"/>
        <v>0</v>
      </c>
    </row>
    <row r="522">
      <c r="B522" s="32" t="str">
        <f>catalog!B634</f>
        <v/>
      </c>
      <c r="D522" s="41" t="str">
        <f>catalog!E634</f>
        <v/>
      </c>
      <c r="AB522" s="32">
        <f t="shared" si="9"/>
        <v>0</v>
      </c>
    </row>
    <row r="523">
      <c r="B523" s="32" t="str">
        <f>catalog!B635</f>
        <v/>
      </c>
      <c r="D523" s="41" t="str">
        <f>catalog!E635</f>
        <v/>
      </c>
      <c r="AB523" s="32">
        <f t="shared" si="9"/>
        <v>0</v>
      </c>
    </row>
    <row r="524">
      <c r="B524" s="32" t="str">
        <f>catalog!B636</f>
        <v/>
      </c>
      <c r="D524" s="41" t="str">
        <f>catalog!E636</f>
        <v/>
      </c>
      <c r="AB524" s="32">
        <f t="shared" si="9"/>
        <v>0</v>
      </c>
    </row>
    <row r="525">
      <c r="B525" s="32" t="str">
        <f>catalog!B637</f>
        <v/>
      </c>
      <c r="D525" s="41" t="str">
        <f>catalog!E637</f>
        <v/>
      </c>
      <c r="AB525" s="32">
        <f t="shared" si="9"/>
        <v>0</v>
      </c>
    </row>
    <row r="526">
      <c r="B526" s="32" t="str">
        <f>catalog!B638</f>
        <v/>
      </c>
      <c r="D526" s="41" t="str">
        <f>catalog!E638</f>
        <v/>
      </c>
      <c r="AB526" s="32">
        <f t="shared" si="9"/>
        <v>0</v>
      </c>
    </row>
    <row r="527">
      <c r="B527" s="32" t="str">
        <f>catalog!B639</f>
        <v/>
      </c>
      <c r="D527" s="41" t="str">
        <f>catalog!E639</f>
        <v/>
      </c>
      <c r="AB527" s="32">
        <f t="shared" si="9"/>
        <v>0</v>
      </c>
    </row>
    <row r="528">
      <c r="B528" s="32" t="str">
        <f>catalog!B640</f>
        <v/>
      </c>
      <c r="D528" s="41" t="str">
        <f>catalog!E640</f>
        <v/>
      </c>
      <c r="AB528" s="32">
        <f t="shared" si="9"/>
        <v>0</v>
      </c>
    </row>
    <row r="529">
      <c r="B529" s="32" t="str">
        <f>catalog!B641</f>
        <v/>
      </c>
      <c r="D529" s="41" t="str">
        <f>catalog!E641</f>
        <v/>
      </c>
      <c r="AB529" s="32">
        <f t="shared" si="9"/>
        <v>0</v>
      </c>
    </row>
    <row r="530">
      <c r="B530" s="32" t="str">
        <f>catalog!B642</f>
        <v/>
      </c>
      <c r="D530" s="41" t="str">
        <f>catalog!E642</f>
        <v/>
      </c>
      <c r="AB530" s="32">
        <f t="shared" si="9"/>
        <v>0</v>
      </c>
    </row>
    <row r="531">
      <c r="B531" s="32" t="str">
        <f>catalog!B643</f>
        <v/>
      </c>
      <c r="D531" s="41" t="str">
        <f>catalog!E643</f>
        <v/>
      </c>
      <c r="AB531" s="32">
        <f t="shared" si="9"/>
        <v>0</v>
      </c>
    </row>
    <row r="532">
      <c r="B532" s="32" t="str">
        <f>catalog!B644</f>
        <v/>
      </c>
      <c r="D532" s="41" t="str">
        <f>catalog!E644</f>
        <v/>
      </c>
      <c r="AB532" s="32">
        <f t="shared" si="9"/>
        <v>0</v>
      </c>
    </row>
    <row r="533">
      <c r="B533" s="32" t="str">
        <f>catalog!B645</f>
        <v/>
      </c>
      <c r="D533" s="41" t="str">
        <f>catalog!E645</f>
        <v/>
      </c>
      <c r="AB533" s="32">
        <f t="shared" si="9"/>
        <v>0</v>
      </c>
    </row>
    <row r="534">
      <c r="B534" s="32" t="str">
        <f>catalog!B646</f>
        <v/>
      </c>
      <c r="D534" s="41" t="str">
        <f>catalog!E646</f>
        <v/>
      </c>
      <c r="AB534" s="32">
        <f t="shared" si="9"/>
        <v>0</v>
      </c>
    </row>
    <row r="535">
      <c r="B535" s="32" t="str">
        <f>catalog!B647</f>
        <v/>
      </c>
      <c r="D535" s="41" t="str">
        <f>catalog!E647</f>
        <v/>
      </c>
      <c r="AB535" s="32">
        <f t="shared" si="9"/>
        <v>0</v>
      </c>
    </row>
    <row r="536">
      <c r="B536" s="32" t="str">
        <f>catalog!B648</f>
        <v/>
      </c>
      <c r="D536" s="41" t="str">
        <f>catalog!E648</f>
        <v/>
      </c>
      <c r="AB536" s="32">
        <f t="shared" si="9"/>
        <v>0</v>
      </c>
    </row>
    <row r="537">
      <c r="B537" s="32" t="str">
        <f>catalog!B649</f>
        <v/>
      </c>
      <c r="D537" s="41" t="str">
        <f>catalog!E649</f>
        <v/>
      </c>
      <c r="AB537" s="32">
        <f t="shared" si="9"/>
        <v>0</v>
      </c>
    </row>
    <row r="538">
      <c r="B538" s="32" t="str">
        <f>catalog!B650</f>
        <v/>
      </c>
      <c r="D538" s="41" t="str">
        <f>catalog!E650</f>
        <v/>
      </c>
      <c r="AB538" s="32">
        <f t="shared" si="9"/>
        <v>0</v>
      </c>
    </row>
    <row r="539">
      <c r="B539" s="32" t="str">
        <f>catalog!B651</f>
        <v/>
      </c>
      <c r="D539" s="41" t="str">
        <f>catalog!E651</f>
        <v/>
      </c>
      <c r="AB539" s="32">
        <f t="shared" si="9"/>
        <v>0</v>
      </c>
    </row>
    <row r="540">
      <c r="B540" s="32" t="str">
        <f>catalog!B652</f>
        <v/>
      </c>
      <c r="D540" s="41" t="str">
        <f>catalog!E652</f>
        <v/>
      </c>
      <c r="AB540" s="32">
        <f t="shared" si="9"/>
        <v>0</v>
      </c>
    </row>
    <row r="541">
      <c r="B541" s="32" t="str">
        <f>catalog!B653</f>
        <v/>
      </c>
      <c r="D541" s="41" t="str">
        <f>catalog!E653</f>
        <v/>
      </c>
      <c r="AB541" s="32">
        <f t="shared" si="9"/>
        <v>0</v>
      </c>
    </row>
    <row r="542">
      <c r="B542" s="32" t="str">
        <f>catalog!B654</f>
        <v/>
      </c>
      <c r="D542" s="41" t="str">
        <f>catalog!E654</f>
        <v/>
      </c>
      <c r="AB542" s="32">
        <f t="shared" si="9"/>
        <v>0</v>
      </c>
    </row>
    <row r="543">
      <c r="B543" s="32" t="str">
        <f>catalog!B655</f>
        <v/>
      </c>
      <c r="D543" s="41" t="str">
        <f>catalog!E655</f>
        <v/>
      </c>
      <c r="AB543" s="32">
        <f t="shared" si="9"/>
        <v>0</v>
      </c>
    </row>
    <row r="544">
      <c r="B544" s="32" t="str">
        <f>catalog!B656</f>
        <v/>
      </c>
      <c r="D544" s="41" t="str">
        <f>catalog!E656</f>
        <v/>
      </c>
      <c r="AB544" s="32">
        <f t="shared" si="9"/>
        <v>0</v>
      </c>
    </row>
    <row r="545">
      <c r="B545" s="32" t="str">
        <f>catalog!B657</f>
        <v/>
      </c>
      <c r="D545" s="41" t="str">
        <f>catalog!E657</f>
        <v/>
      </c>
      <c r="AB545" s="32">
        <f t="shared" si="9"/>
        <v>0</v>
      </c>
    </row>
    <row r="546">
      <c r="B546" s="32" t="str">
        <f>catalog!B658</f>
        <v/>
      </c>
      <c r="D546" s="41" t="str">
        <f>catalog!E658</f>
        <v/>
      </c>
      <c r="AB546" s="32">
        <f t="shared" si="9"/>
        <v>0</v>
      </c>
    </row>
    <row r="547">
      <c r="B547" s="32" t="str">
        <f>catalog!B659</f>
        <v/>
      </c>
      <c r="D547" s="41" t="str">
        <f>catalog!E659</f>
        <v/>
      </c>
      <c r="AB547" s="32">
        <f t="shared" si="9"/>
        <v>0</v>
      </c>
    </row>
    <row r="548">
      <c r="B548" s="32" t="str">
        <f>catalog!B660</f>
        <v/>
      </c>
      <c r="D548" s="41" t="str">
        <f>catalog!E660</f>
        <v/>
      </c>
      <c r="AB548" s="32">
        <f t="shared" si="9"/>
        <v>0</v>
      </c>
    </row>
    <row r="549">
      <c r="B549" s="32" t="str">
        <f>catalog!B661</f>
        <v/>
      </c>
      <c r="D549" s="41" t="str">
        <f>catalog!E661</f>
        <v/>
      </c>
      <c r="AB549" s="32">
        <f t="shared" si="9"/>
        <v>0</v>
      </c>
    </row>
    <row r="550">
      <c r="B550" s="32" t="str">
        <f>catalog!B662</f>
        <v/>
      </c>
      <c r="D550" s="41" t="str">
        <f>catalog!E662</f>
        <v/>
      </c>
      <c r="AB550" s="32">
        <f t="shared" si="9"/>
        <v>0</v>
      </c>
    </row>
    <row r="551">
      <c r="B551" s="32" t="str">
        <f>catalog!B663</f>
        <v/>
      </c>
      <c r="D551" s="41" t="str">
        <f>catalog!E663</f>
        <v/>
      </c>
      <c r="AB551" s="32">
        <f t="shared" si="9"/>
        <v>0</v>
      </c>
    </row>
    <row r="552">
      <c r="B552" s="32" t="str">
        <f>catalog!B664</f>
        <v/>
      </c>
      <c r="D552" s="41" t="str">
        <f>catalog!E664</f>
        <v/>
      </c>
      <c r="AB552" s="32">
        <f t="shared" si="9"/>
        <v>0</v>
      </c>
    </row>
    <row r="553">
      <c r="B553" s="32" t="str">
        <f>catalog!B665</f>
        <v/>
      </c>
      <c r="D553" s="41" t="str">
        <f>catalog!E665</f>
        <v/>
      </c>
      <c r="AB553" s="32">
        <f t="shared" si="9"/>
        <v>0</v>
      </c>
    </row>
    <row r="554">
      <c r="B554" s="32" t="str">
        <f>catalog!B666</f>
        <v/>
      </c>
      <c r="D554" s="41" t="str">
        <f>catalog!E666</f>
        <v/>
      </c>
      <c r="AB554" s="32">
        <f t="shared" si="9"/>
        <v>0</v>
      </c>
    </row>
    <row r="555">
      <c r="B555" s="32" t="str">
        <f>catalog!B667</f>
        <v/>
      </c>
      <c r="D555" s="41" t="str">
        <f>catalog!E667</f>
        <v/>
      </c>
      <c r="AB555" s="32">
        <f t="shared" si="9"/>
        <v>0</v>
      </c>
    </row>
    <row r="556">
      <c r="B556" s="32" t="str">
        <f>catalog!B668</f>
        <v/>
      </c>
      <c r="D556" s="41" t="str">
        <f>catalog!E668</f>
        <v/>
      </c>
      <c r="AB556" s="32">
        <f t="shared" si="9"/>
        <v>0</v>
      </c>
    </row>
    <row r="557">
      <c r="B557" s="32" t="str">
        <f>catalog!B669</f>
        <v/>
      </c>
      <c r="D557" s="41" t="str">
        <f>catalog!E669</f>
        <v/>
      </c>
      <c r="AB557" s="32">
        <f t="shared" si="9"/>
        <v>0</v>
      </c>
    </row>
    <row r="558">
      <c r="B558" s="32" t="str">
        <f>catalog!B670</f>
        <v/>
      </c>
      <c r="D558" s="41" t="str">
        <f>catalog!E670</f>
        <v/>
      </c>
      <c r="AB558" s="32">
        <f t="shared" si="9"/>
        <v>0</v>
      </c>
    </row>
    <row r="559">
      <c r="B559" s="32" t="str">
        <f>catalog!B671</f>
        <v/>
      </c>
      <c r="D559" s="41" t="str">
        <f>catalog!E671</f>
        <v/>
      </c>
      <c r="AB559" s="32">
        <f t="shared" si="9"/>
        <v>0</v>
      </c>
    </row>
    <row r="560">
      <c r="B560" s="32" t="str">
        <f>catalog!B672</f>
        <v/>
      </c>
      <c r="D560" s="41" t="str">
        <f>catalog!E672</f>
        <v/>
      </c>
      <c r="AB560" s="32">
        <f t="shared" si="9"/>
        <v>0</v>
      </c>
    </row>
    <row r="561">
      <c r="B561" s="32" t="str">
        <f>catalog!B673</f>
        <v/>
      </c>
      <c r="D561" s="41" t="str">
        <f>catalog!E673</f>
        <v/>
      </c>
      <c r="AB561" s="32">
        <f t="shared" si="9"/>
        <v>0</v>
      </c>
    </row>
    <row r="562">
      <c r="B562" s="32" t="str">
        <f>catalog!B674</f>
        <v/>
      </c>
      <c r="D562" s="41" t="str">
        <f>catalog!E674</f>
        <v/>
      </c>
      <c r="AB562" s="32">
        <f t="shared" si="9"/>
        <v>0</v>
      </c>
    </row>
    <row r="563">
      <c r="B563" s="32" t="str">
        <f>catalog!B675</f>
        <v/>
      </c>
      <c r="D563" s="41" t="str">
        <f>catalog!E675</f>
        <v/>
      </c>
      <c r="AB563" s="32">
        <f t="shared" si="9"/>
        <v>0</v>
      </c>
    </row>
    <row r="564">
      <c r="B564" s="32" t="str">
        <f>catalog!B676</f>
        <v/>
      </c>
      <c r="D564" s="41" t="str">
        <f>catalog!E676</f>
        <v/>
      </c>
      <c r="AB564" s="32">
        <f t="shared" si="9"/>
        <v>0</v>
      </c>
    </row>
    <row r="565">
      <c r="B565" s="32" t="str">
        <f>catalog!B677</f>
        <v/>
      </c>
      <c r="D565" s="41" t="str">
        <f>catalog!E677</f>
        <v/>
      </c>
      <c r="AB565" s="32">
        <f t="shared" si="9"/>
        <v>0</v>
      </c>
    </row>
    <row r="566">
      <c r="B566" s="32" t="str">
        <f>catalog!B678</f>
        <v/>
      </c>
      <c r="D566" s="41" t="str">
        <f>catalog!E678</f>
        <v/>
      </c>
      <c r="AB566" s="32">
        <f t="shared" si="9"/>
        <v>0</v>
      </c>
    </row>
    <row r="567">
      <c r="B567" s="32" t="str">
        <f>catalog!B679</f>
        <v/>
      </c>
      <c r="D567" s="41" t="str">
        <f>catalog!E679</f>
        <v/>
      </c>
      <c r="AB567" s="32">
        <f t="shared" si="9"/>
        <v>0</v>
      </c>
    </row>
    <row r="568">
      <c r="B568" s="32" t="str">
        <f>catalog!B680</f>
        <v/>
      </c>
      <c r="D568" s="41" t="str">
        <f>catalog!E680</f>
        <v/>
      </c>
      <c r="AB568" s="32">
        <f t="shared" si="9"/>
        <v>0</v>
      </c>
    </row>
    <row r="569">
      <c r="B569" s="32" t="str">
        <f>catalog!B681</f>
        <v/>
      </c>
      <c r="D569" s="41" t="str">
        <f>catalog!E681</f>
        <v/>
      </c>
      <c r="AB569" s="32">
        <f t="shared" si="9"/>
        <v>0</v>
      </c>
    </row>
    <row r="570">
      <c r="B570" s="32" t="str">
        <f>catalog!B682</f>
        <v/>
      </c>
      <c r="D570" s="41" t="str">
        <f>catalog!E682</f>
        <v/>
      </c>
      <c r="AB570" s="32">
        <f t="shared" si="9"/>
        <v>0</v>
      </c>
    </row>
    <row r="571">
      <c r="B571" s="32" t="str">
        <f>catalog!B683</f>
        <v/>
      </c>
      <c r="D571" s="41" t="str">
        <f>catalog!E683</f>
        <v/>
      </c>
      <c r="AB571" s="32">
        <f t="shared" si="9"/>
        <v>0</v>
      </c>
    </row>
    <row r="572">
      <c r="B572" s="32" t="str">
        <f>catalog!B684</f>
        <v/>
      </c>
      <c r="D572" s="41" t="str">
        <f>catalog!E684</f>
        <v/>
      </c>
      <c r="AB572" s="32">
        <f t="shared" si="9"/>
        <v>0</v>
      </c>
    </row>
    <row r="573">
      <c r="B573" s="32" t="str">
        <f>catalog!B685</f>
        <v/>
      </c>
      <c r="D573" s="41" t="str">
        <f>catalog!E685</f>
        <v/>
      </c>
      <c r="AB573" s="32">
        <f t="shared" si="9"/>
        <v>0</v>
      </c>
    </row>
    <row r="574">
      <c r="B574" s="32" t="str">
        <f>catalog!B686</f>
        <v/>
      </c>
      <c r="D574" s="41" t="str">
        <f>catalog!E686</f>
        <v/>
      </c>
      <c r="AB574" s="32">
        <f t="shared" si="9"/>
        <v>0</v>
      </c>
    </row>
    <row r="575">
      <c r="B575" s="32" t="str">
        <f>catalog!B687</f>
        <v/>
      </c>
      <c r="D575" s="41" t="str">
        <f>catalog!E687</f>
        <v/>
      </c>
      <c r="AB575" s="32">
        <f t="shared" si="9"/>
        <v>0</v>
      </c>
    </row>
    <row r="576">
      <c r="B576" s="32" t="str">
        <f>catalog!B688</f>
        <v/>
      </c>
      <c r="D576" s="41" t="str">
        <f>catalog!E688</f>
        <v/>
      </c>
      <c r="AB576" s="32">
        <f t="shared" si="9"/>
        <v>0</v>
      </c>
    </row>
    <row r="577">
      <c r="B577" s="32" t="str">
        <f>catalog!B689</f>
        <v/>
      </c>
      <c r="D577" s="41" t="str">
        <f>catalog!E689</f>
        <v/>
      </c>
      <c r="AB577" s="32">
        <f t="shared" si="9"/>
        <v>0</v>
      </c>
    </row>
    <row r="578">
      <c r="B578" s="32" t="str">
        <f>catalog!B690</f>
        <v/>
      </c>
      <c r="D578" s="41" t="str">
        <f>catalog!E690</f>
        <v/>
      </c>
      <c r="AB578" s="32">
        <f t="shared" si="9"/>
        <v>0</v>
      </c>
    </row>
    <row r="579">
      <c r="B579" s="32" t="str">
        <f>catalog!B691</f>
        <v/>
      </c>
      <c r="D579" s="41" t="str">
        <f>catalog!E691</f>
        <v/>
      </c>
      <c r="AB579" s="32">
        <f t="shared" si="9"/>
        <v>0</v>
      </c>
    </row>
    <row r="580">
      <c r="B580" s="32" t="str">
        <f>catalog!B692</f>
        <v/>
      </c>
      <c r="D580" s="41" t="str">
        <f>catalog!E692</f>
        <v/>
      </c>
      <c r="AB580" s="32">
        <f t="shared" si="9"/>
        <v>0</v>
      </c>
    </row>
    <row r="581">
      <c r="B581" s="32" t="str">
        <f>catalog!B693</f>
        <v/>
      </c>
      <c r="D581" s="41" t="str">
        <f>catalog!E693</f>
        <v/>
      </c>
      <c r="AB581" s="32">
        <f t="shared" si="9"/>
        <v>0</v>
      </c>
    </row>
    <row r="582">
      <c r="B582" s="32" t="str">
        <f>catalog!B694</f>
        <v/>
      </c>
      <c r="D582" s="41" t="str">
        <f>catalog!E694</f>
        <v/>
      </c>
      <c r="AB582" s="32">
        <f t="shared" si="9"/>
        <v>0</v>
      </c>
    </row>
    <row r="583">
      <c r="B583" s="32" t="str">
        <f>catalog!B695</f>
        <v/>
      </c>
      <c r="D583" s="41" t="str">
        <f>catalog!E695</f>
        <v/>
      </c>
      <c r="AB583" s="32">
        <f t="shared" si="9"/>
        <v>0</v>
      </c>
    </row>
    <row r="584">
      <c r="B584" s="32" t="str">
        <f>catalog!B696</f>
        <v/>
      </c>
      <c r="D584" s="41" t="str">
        <f>catalog!E696</f>
        <v/>
      </c>
      <c r="AB584" s="32">
        <f t="shared" si="9"/>
        <v>0</v>
      </c>
    </row>
    <row r="585">
      <c r="B585" s="32" t="str">
        <f>catalog!B697</f>
        <v/>
      </c>
      <c r="D585" s="41" t="str">
        <f>catalog!E697</f>
        <v/>
      </c>
      <c r="AB585" s="32">
        <f t="shared" si="9"/>
        <v>0</v>
      </c>
    </row>
    <row r="586">
      <c r="B586" s="32" t="str">
        <f>catalog!B698</f>
        <v/>
      </c>
      <c r="D586" s="41" t="str">
        <f>catalog!E698</f>
        <v/>
      </c>
      <c r="AB586" s="32">
        <f t="shared" si="9"/>
        <v>0</v>
      </c>
    </row>
    <row r="587">
      <c r="B587" s="32" t="str">
        <f>catalog!B699</f>
        <v/>
      </c>
      <c r="D587" s="41" t="str">
        <f>catalog!E699</f>
        <v/>
      </c>
      <c r="AB587" s="32">
        <f t="shared" si="9"/>
        <v>0</v>
      </c>
    </row>
    <row r="588">
      <c r="B588" s="32" t="str">
        <f>catalog!B700</f>
        <v/>
      </c>
      <c r="D588" s="41" t="str">
        <f>catalog!E700</f>
        <v/>
      </c>
      <c r="AB588" s="32">
        <f t="shared" si="9"/>
        <v>0</v>
      </c>
    </row>
    <row r="589">
      <c r="B589" s="32" t="str">
        <f>catalog!B701</f>
        <v/>
      </c>
      <c r="D589" s="41" t="str">
        <f>catalog!E701</f>
        <v/>
      </c>
      <c r="AB589" s="32">
        <f t="shared" si="9"/>
        <v>0</v>
      </c>
    </row>
    <row r="590">
      <c r="B590" s="32" t="str">
        <f>catalog!B702</f>
        <v/>
      </c>
      <c r="D590" s="41" t="str">
        <f>catalog!E702</f>
        <v/>
      </c>
      <c r="AB590" s="32">
        <f t="shared" si="9"/>
        <v>0</v>
      </c>
    </row>
    <row r="591">
      <c r="B591" s="32" t="str">
        <f>catalog!B703</f>
        <v/>
      </c>
      <c r="D591" s="41" t="str">
        <f>catalog!E703</f>
        <v/>
      </c>
      <c r="AB591" s="32">
        <f t="shared" si="9"/>
        <v>0</v>
      </c>
    </row>
    <row r="592">
      <c r="B592" s="32" t="str">
        <f>catalog!B704</f>
        <v/>
      </c>
      <c r="D592" s="41" t="str">
        <f>catalog!E704</f>
        <v/>
      </c>
      <c r="AB592" s="32">
        <f t="shared" si="9"/>
        <v>0</v>
      </c>
    </row>
    <row r="593">
      <c r="B593" s="32" t="str">
        <f>catalog!B705</f>
        <v/>
      </c>
      <c r="D593" s="41" t="str">
        <f>catalog!E705</f>
        <v/>
      </c>
      <c r="AB593" s="32">
        <f t="shared" si="9"/>
        <v>0</v>
      </c>
    </row>
    <row r="594">
      <c r="B594" s="32" t="str">
        <f>catalog!B706</f>
        <v/>
      </c>
      <c r="D594" s="41" t="str">
        <f>catalog!E706</f>
        <v/>
      </c>
      <c r="AB594" s="32">
        <f t="shared" si="9"/>
        <v>0</v>
      </c>
    </row>
    <row r="595">
      <c r="B595" s="32" t="str">
        <f>catalog!B707</f>
        <v/>
      </c>
      <c r="D595" s="41" t="str">
        <f>catalog!E707</f>
        <v/>
      </c>
      <c r="AB595" s="32">
        <f t="shared" si="9"/>
        <v>0</v>
      </c>
    </row>
    <row r="596">
      <c r="B596" s="32" t="str">
        <f>catalog!B708</f>
        <v/>
      </c>
      <c r="D596" s="41" t="str">
        <f>catalog!E708</f>
        <v/>
      </c>
      <c r="AB596" s="32">
        <f t="shared" si="9"/>
        <v>0</v>
      </c>
    </row>
    <row r="597">
      <c r="B597" s="32" t="str">
        <f>catalog!B709</f>
        <v/>
      </c>
      <c r="D597" s="41" t="str">
        <f>catalog!E709</f>
        <v/>
      </c>
      <c r="AB597" s="32">
        <f t="shared" si="9"/>
        <v>0</v>
      </c>
    </row>
    <row r="598">
      <c r="B598" s="32" t="str">
        <f>catalog!B710</f>
        <v/>
      </c>
      <c r="D598" s="41" t="str">
        <f>catalog!E710</f>
        <v/>
      </c>
      <c r="AB598" s="32">
        <f t="shared" si="9"/>
        <v>0</v>
      </c>
    </row>
    <row r="599">
      <c r="B599" s="32" t="str">
        <f>catalog!B711</f>
        <v/>
      </c>
      <c r="D599" s="41" t="str">
        <f>catalog!E711</f>
        <v/>
      </c>
      <c r="AB599" s="32">
        <f t="shared" si="9"/>
        <v>0</v>
      </c>
    </row>
    <row r="600">
      <c r="B600" s="32" t="str">
        <f>catalog!B712</f>
        <v/>
      </c>
      <c r="D600" s="41" t="str">
        <f>catalog!E712</f>
        <v/>
      </c>
      <c r="AB600" s="32">
        <f t="shared" si="9"/>
        <v>0</v>
      </c>
    </row>
    <row r="601">
      <c r="B601" s="32" t="str">
        <f>catalog!B713</f>
        <v/>
      </c>
      <c r="D601" s="41" t="str">
        <f>catalog!E713</f>
        <v/>
      </c>
      <c r="AB601" s="32">
        <f t="shared" si="9"/>
        <v>0</v>
      </c>
    </row>
    <row r="602">
      <c r="B602" s="32" t="str">
        <f>catalog!B714</f>
        <v/>
      </c>
      <c r="D602" s="41" t="str">
        <f>catalog!E714</f>
        <v/>
      </c>
      <c r="AB602" s="32">
        <f t="shared" si="9"/>
        <v>0</v>
      </c>
    </row>
    <row r="603">
      <c r="B603" s="32" t="str">
        <f>catalog!B715</f>
        <v/>
      </c>
      <c r="D603" s="41" t="str">
        <f>catalog!E715</f>
        <v/>
      </c>
      <c r="AB603" s="32">
        <f t="shared" si="9"/>
        <v>0</v>
      </c>
    </row>
    <row r="604">
      <c r="B604" s="32" t="str">
        <f>catalog!B716</f>
        <v/>
      </c>
      <c r="D604" s="41" t="str">
        <f>catalog!E716</f>
        <v/>
      </c>
      <c r="AB604" s="32">
        <f t="shared" si="9"/>
        <v>0</v>
      </c>
    </row>
    <row r="605">
      <c r="B605" s="32" t="str">
        <f>catalog!B717</f>
        <v/>
      </c>
      <c r="D605" s="41" t="str">
        <f>catalog!E717</f>
        <v/>
      </c>
      <c r="AB605" s="32">
        <f t="shared" si="9"/>
        <v>0</v>
      </c>
    </row>
    <row r="606">
      <c r="B606" s="32" t="str">
        <f>catalog!B718</f>
        <v/>
      </c>
      <c r="D606" s="41" t="str">
        <f>catalog!E718</f>
        <v/>
      </c>
      <c r="AB606" s="32">
        <f t="shared" si="9"/>
        <v>0</v>
      </c>
    </row>
    <row r="607">
      <c r="B607" s="32" t="str">
        <f>catalog!B719</f>
        <v/>
      </c>
      <c r="D607" s="41" t="str">
        <f>catalog!E719</f>
        <v/>
      </c>
      <c r="AB607" s="32">
        <f t="shared" si="9"/>
        <v>0</v>
      </c>
    </row>
    <row r="608">
      <c r="B608" s="32" t="str">
        <f>catalog!B720</f>
        <v/>
      </c>
      <c r="D608" s="41" t="str">
        <f>catalog!E720</f>
        <v/>
      </c>
      <c r="AB608" s="32">
        <f t="shared" si="9"/>
        <v>0</v>
      </c>
    </row>
    <row r="609">
      <c r="B609" s="32" t="str">
        <f>catalog!B721</f>
        <v/>
      </c>
      <c r="D609" s="41" t="str">
        <f>catalog!E721</f>
        <v/>
      </c>
      <c r="AB609" s="32">
        <f t="shared" si="9"/>
        <v>0</v>
      </c>
    </row>
    <row r="610">
      <c r="B610" s="32" t="str">
        <f>catalog!B722</f>
        <v/>
      </c>
      <c r="D610" s="41" t="str">
        <f>catalog!E722</f>
        <v/>
      </c>
      <c r="AB610" s="32">
        <f t="shared" si="9"/>
        <v>0</v>
      </c>
    </row>
    <row r="611">
      <c r="B611" s="32" t="str">
        <f>catalog!B723</f>
        <v/>
      </c>
      <c r="D611" s="41" t="str">
        <f>catalog!E723</f>
        <v/>
      </c>
      <c r="AB611" s="32">
        <f t="shared" si="9"/>
        <v>0</v>
      </c>
    </row>
    <row r="612">
      <c r="B612" s="32" t="str">
        <f>catalog!B724</f>
        <v/>
      </c>
      <c r="D612" s="41" t="str">
        <f>catalog!E724</f>
        <v/>
      </c>
      <c r="AB612" s="32">
        <f t="shared" si="9"/>
        <v>0</v>
      </c>
    </row>
    <row r="613">
      <c r="B613" s="32" t="str">
        <f>catalog!B725</f>
        <v/>
      </c>
      <c r="D613" s="41" t="str">
        <f>catalog!E725</f>
        <v/>
      </c>
      <c r="AB613" s="32">
        <f t="shared" si="9"/>
        <v>0</v>
      </c>
    </row>
    <row r="614">
      <c r="B614" s="32" t="str">
        <f>catalog!B726</f>
        <v/>
      </c>
      <c r="D614" s="41" t="str">
        <f>catalog!E726</f>
        <v/>
      </c>
      <c r="AB614" s="32">
        <f t="shared" si="9"/>
        <v>0</v>
      </c>
    </row>
    <row r="615">
      <c r="B615" s="32" t="str">
        <f>catalog!B727</f>
        <v/>
      </c>
      <c r="D615" s="41" t="str">
        <f>catalog!E727</f>
        <v/>
      </c>
      <c r="AB615" s="32">
        <f t="shared" si="9"/>
        <v>0</v>
      </c>
    </row>
    <row r="616">
      <c r="B616" s="32" t="str">
        <f>catalog!B728</f>
        <v/>
      </c>
      <c r="D616" s="41" t="str">
        <f>catalog!E728</f>
        <v/>
      </c>
      <c r="AB616" s="32">
        <f t="shared" si="9"/>
        <v>0</v>
      </c>
    </row>
    <row r="617">
      <c r="B617" s="32" t="str">
        <f>catalog!B729</f>
        <v/>
      </c>
      <c r="D617" s="41" t="str">
        <f>catalog!E729</f>
        <v/>
      </c>
      <c r="AB617" s="32">
        <f t="shared" si="9"/>
        <v>0</v>
      </c>
    </row>
    <row r="618">
      <c r="B618" s="32" t="str">
        <f>catalog!B730</f>
        <v/>
      </c>
      <c r="D618" s="41" t="str">
        <f>catalog!E730</f>
        <v/>
      </c>
      <c r="AB618" s="32">
        <f t="shared" si="9"/>
        <v>0</v>
      </c>
    </row>
    <row r="619">
      <c r="B619" s="32" t="str">
        <f>catalog!B731</f>
        <v/>
      </c>
      <c r="D619" s="41" t="str">
        <f>catalog!E731</f>
        <v/>
      </c>
      <c r="AB619" s="32">
        <f t="shared" si="9"/>
        <v>0</v>
      </c>
    </row>
    <row r="620">
      <c r="B620" s="32" t="str">
        <f>catalog!B732</f>
        <v/>
      </c>
      <c r="D620" s="41" t="str">
        <f>catalog!E732</f>
        <v/>
      </c>
      <c r="AB620" s="32">
        <f t="shared" si="9"/>
        <v>0</v>
      </c>
    </row>
    <row r="621">
      <c r="B621" s="32" t="str">
        <f>catalog!B733</f>
        <v/>
      </c>
      <c r="D621" s="41" t="str">
        <f>catalog!E733</f>
        <v/>
      </c>
      <c r="AB621" s="32">
        <f t="shared" si="9"/>
        <v>0</v>
      </c>
    </row>
    <row r="622">
      <c r="B622" s="32" t="str">
        <f>catalog!B734</f>
        <v/>
      </c>
      <c r="D622" s="41" t="str">
        <f>catalog!E734</f>
        <v/>
      </c>
      <c r="AB622" s="32">
        <f t="shared" si="9"/>
        <v>0</v>
      </c>
    </row>
    <row r="623">
      <c r="B623" s="32" t="str">
        <f>catalog!B735</f>
        <v/>
      </c>
      <c r="D623" s="41" t="str">
        <f>catalog!E735</f>
        <v/>
      </c>
      <c r="AB623" s="32">
        <f t="shared" si="9"/>
        <v>0</v>
      </c>
    </row>
    <row r="624">
      <c r="B624" s="32" t="str">
        <f>catalog!B736</f>
        <v/>
      </c>
      <c r="D624" s="41" t="str">
        <f>catalog!E736</f>
        <v/>
      </c>
      <c r="AB624" s="32">
        <f t="shared" si="9"/>
        <v>0</v>
      </c>
    </row>
    <row r="625">
      <c r="B625" s="32" t="str">
        <f>catalog!B737</f>
        <v/>
      </c>
      <c r="D625" s="41" t="str">
        <f>catalog!E737</f>
        <v/>
      </c>
      <c r="AB625" s="32">
        <f t="shared" si="9"/>
        <v>0</v>
      </c>
    </row>
    <row r="626">
      <c r="B626" s="32" t="str">
        <f>catalog!B738</f>
        <v/>
      </c>
      <c r="D626" s="41" t="str">
        <f>catalog!E738</f>
        <v/>
      </c>
      <c r="AB626" s="32">
        <f t="shared" si="9"/>
        <v>0</v>
      </c>
    </row>
    <row r="627">
      <c r="B627" s="32" t="str">
        <f>catalog!B739</f>
        <v/>
      </c>
      <c r="D627" s="41" t="str">
        <f>catalog!E739</f>
        <v/>
      </c>
      <c r="AB627" s="32">
        <f t="shared" si="9"/>
        <v>0</v>
      </c>
    </row>
    <row r="628">
      <c r="B628" s="32" t="str">
        <f>catalog!B740</f>
        <v/>
      </c>
      <c r="D628" s="41" t="str">
        <f>catalog!E740</f>
        <v/>
      </c>
      <c r="AB628" s="32">
        <f t="shared" si="9"/>
        <v>0</v>
      </c>
    </row>
    <row r="629">
      <c r="B629" s="32" t="str">
        <f>catalog!B741</f>
        <v/>
      </c>
      <c r="D629" s="41" t="str">
        <f>catalog!E741</f>
        <v/>
      </c>
      <c r="AB629" s="32">
        <f t="shared" si="9"/>
        <v>0</v>
      </c>
    </row>
    <row r="630">
      <c r="B630" s="32" t="str">
        <f>catalog!B742</f>
        <v/>
      </c>
      <c r="D630" s="41" t="str">
        <f>catalog!E742</f>
        <v/>
      </c>
      <c r="AB630" s="32">
        <f t="shared" si="9"/>
        <v>0</v>
      </c>
    </row>
    <row r="631">
      <c r="B631" s="32" t="str">
        <f>catalog!B743</f>
        <v/>
      </c>
      <c r="D631" s="41" t="str">
        <f>catalog!E743</f>
        <v/>
      </c>
      <c r="AB631" s="32">
        <f t="shared" si="9"/>
        <v>0</v>
      </c>
    </row>
    <row r="632">
      <c r="B632" s="32" t="str">
        <f>catalog!B744</f>
        <v/>
      </c>
      <c r="D632" s="41" t="str">
        <f>catalog!E744</f>
        <v/>
      </c>
      <c r="AB632" s="32">
        <f t="shared" si="9"/>
        <v>0</v>
      </c>
    </row>
    <row r="633">
      <c r="B633" s="32" t="str">
        <f>catalog!B745</f>
        <v/>
      </c>
      <c r="D633" s="41" t="str">
        <f>catalog!E745</f>
        <v/>
      </c>
      <c r="AB633" s="32">
        <f t="shared" si="9"/>
        <v>0</v>
      </c>
    </row>
    <row r="634">
      <c r="B634" s="32" t="str">
        <f>catalog!B746</f>
        <v/>
      </c>
      <c r="D634" s="41" t="str">
        <f>catalog!E746</f>
        <v/>
      </c>
      <c r="AB634" s="32">
        <f t="shared" si="9"/>
        <v>0</v>
      </c>
    </row>
    <row r="635">
      <c r="B635" s="32" t="str">
        <f>catalog!B747</f>
        <v/>
      </c>
      <c r="D635" s="41" t="str">
        <f>catalog!E747</f>
        <v/>
      </c>
      <c r="AB635" s="32">
        <f t="shared" si="9"/>
        <v>0</v>
      </c>
    </row>
    <row r="636">
      <c r="B636" s="32" t="str">
        <f>catalog!B748</f>
        <v/>
      </c>
      <c r="D636" s="41" t="str">
        <f>catalog!E748</f>
        <v/>
      </c>
      <c r="AB636" s="32">
        <f t="shared" si="9"/>
        <v>0</v>
      </c>
    </row>
    <row r="637">
      <c r="B637" s="32" t="str">
        <f>catalog!B749</f>
        <v/>
      </c>
      <c r="D637" s="41" t="str">
        <f>catalog!E749</f>
        <v/>
      </c>
      <c r="AB637" s="32">
        <f t="shared" si="9"/>
        <v>0</v>
      </c>
    </row>
    <row r="638">
      <c r="B638" s="32" t="str">
        <f>catalog!B750</f>
        <v/>
      </c>
      <c r="D638" s="41" t="str">
        <f>catalog!E750</f>
        <v/>
      </c>
      <c r="AB638" s="32">
        <f t="shared" si="9"/>
        <v>0</v>
      </c>
    </row>
    <row r="639">
      <c r="B639" s="32" t="str">
        <f>catalog!B751</f>
        <v/>
      </c>
      <c r="D639" s="41" t="str">
        <f>catalog!E751</f>
        <v/>
      </c>
      <c r="AB639" s="32">
        <f t="shared" si="9"/>
        <v>0</v>
      </c>
    </row>
    <row r="640">
      <c r="B640" s="32" t="str">
        <f>catalog!B752</f>
        <v/>
      </c>
      <c r="D640" s="41" t="str">
        <f>catalog!E752</f>
        <v/>
      </c>
      <c r="AB640" s="32">
        <f t="shared" si="9"/>
        <v>0</v>
      </c>
    </row>
    <row r="641">
      <c r="B641" s="32" t="str">
        <f>catalog!B753</f>
        <v/>
      </c>
      <c r="D641" s="41" t="str">
        <f>catalog!E753</f>
        <v/>
      </c>
      <c r="AB641" s="32">
        <f t="shared" si="9"/>
        <v>0</v>
      </c>
    </row>
    <row r="642">
      <c r="B642" s="32" t="str">
        <f>catalog!B754</f>
        <v/>
      </c>
      <c r="D642" s="41" t="str">
        <f>catalog!E754</f>
        <v/>
      </c>
      <c r="AB642" s="32">
        <f t="shared" si="9"/>
        <v>0</v>
      </c>
    </row>
    <row r="643">
      <c r="B643" s="32" t="str">
        <f>catalog!B755</f>
        <v/>
      </c>
      <c r="D643" s="41" t="str">
        <f>catalog!E755</f>
        <v/>
      </c>
      <c r="AB643" s="32">
        <f t="shared" si="9"/>
        <v>0</v>
      </c>
    </row>
    <row r="644">
      <c r="B644" s="32" t="str">
        <f>catalog!B756</f>
        <v/>
      </c>
      <c r="D644" s="41" t="str">
        <f>catalog!E756</f>
        <v/>
      </c>
      <c r="AB644" s="32">
        <f t="shared" si="9"/>
        <v>0</v>
      </c>
    </row>
    <row r="645">
      <c r="B645" s="32" t="str">
        <f>catalog!B757</f>
        <v/>
      </c>
      <c r="D645" s="41" t="str">
        <f>catalog!E757</f>
        <v/>
      </c>
      <c r="AB645" s="32">
        <f t="shared" si="9"/>
        <v>0</v>
      </c>
    </row>
    <row r="646">
      <c r="B646" s="32" t="str">
        <f>catalog!B758</f>
        <v/>
      </c>
      <c r="D646" s="41" t="str">
        <f>catalog!E758</f>
        <v/>
      </c>
      <c r="AB646" s="32">
        <f t="shared" si="9"/>
        <v>0</v>
      </c>
    </row>
    <row r="647">
      <c r="B647" s="32" t="str">
        <f>catalog!B759</f>
        <v/>
      </c>
      <c r="D647" s="41" t="str">
        <f>catalog!E759</f>
        <v/>
      </c>
      <c r="AB647" s="32">
        <f t="shared" si="9"/>
        <v>0</v>
      </c>
    </row>
    <row r="648">
      <c r="B648" s="32" t="str">
        <f>catalog!B760</f>
        <v/>
      </c>
      <c r="D648" s="41" t="str">
        <f>catalog!E760</f>
        <v/>
      </c>
      <c r="AB648" s="32">
        <f t="shared" si="9"/>
        <v>0</v>
      </c>
    </row>
    <row r="649">
      <c r="B649" s="32" t="str">
        <f>catalog!B761</f>
        <v/>
      </c>
      <c r="D649" s="41" t="str">
        <f>catalog!E761</f>
        <v/>
      </c>
      <c r="AB649" s="32">
        <f t="shared" si="9"/>
        <v>0</v>
      </c>
    </row>
    <row r="650">
      <c r="B650" s="32" t="str">
        <f>catalog!B762</f>
        <v/>
      </c>
      <c r="D650" s="41" t="str">
        <f>catalog!E762</f>
        <v/>
      </c>
      <c r="AB650" s="32">
        <f t="shared" si="9"/>
        <v>0</v>
      </c>
    </row>
    <row r="651">
      <c r="B651" s="32" t="str">
        <f>catalog!B763</f>
        <v/>
      </c>
      <c r="D651" s="41" t="str">
        <f>catalog!E763</f>
        <v/>
      </c>
      <c r="AB651" s="32">
        <f t="shared" si="9"/>
        <v>0</v>
      </c>
    </row>
    <row r="652">
      <c r="B652" s="32" t="str">
        <f>catalog!B764</f>
        <v/>
      </c>
      <c r="D652" s="41" t="str">
        <f>catalog!E764</f>
        <v/>
      </c>
      <c r="AB652" s="32">
        <f t="shared" si="9"/>
        <v>0</v>
      </c>
    </row>
    <row r="653">
      <c r="B653" s="32" t="str">
        <f>catalog!B765</f>
        <v/>
      </c>
      <c r="D653" s="41" t="str">
        <f>catalog!E765</f>
        <v/>
      </c>
      <c r="AB653" s="32">
        <f t="shared" si="9"/>
        <v>0</v>
      </c>
    </row>
    <row r="654">
      <c r="B654" s="32" t="str">
        <f>catalog!B766</f>
        <v/>
      </c>
      <c r="D654" s="41" t="str">
        <f>catalog!E766</f>
        <v/>
      </c>
      <c r="AB654" s="32">
        <f t="shared" si="9"/>
        <v>0</v>
      </c>
    </row>
    <row r="655">
      <c r="B655" s="32" t="str">
        <f>catalog!B767</f>
        <v/>
      </c>
      <c r="D655" s="41" t="str">
        <f>catalog!E767</f>
        <v/>
      </c>
      <c r="AB655" s="32">
        <f t="shared" si="9"/>
        <v>0</v>
      </c>
    </row>
    <row r="656">
      <c r="B656" s="32" t="str">
        <f>catalog!B768</f>
        <v/>
      </c>
      <c r="D656" s="41" t="str">
        <f>catalog!E768</f>
        <v/>
      </c>
      <c r="AB656" s="32">
        <f t="shared" si="9"/>
        <v>0</v>
      </c>
    </row>
    <row r="657">
      <c r="B657" s="32" t="str">
        <f>catalog!B769</f>
        <v/>
      </c>
      <c r="D657" s="41" t="str">
        <f>catalog!E769</f>
        <v/>
      </c>
      <c r="AB657" s="32">
        <f t="shared" si="9"/>
        <v>0</v>
      </c>
    </row>
    <row r="658">
      <c r="B658" s="32" t="str">
        <f>catalog!B770</f>
        <v/>
      </c>
      <c r="D658" s="41" t="str">
        <f>catalog!E770</f>
        <v/>
      </c>
      <c r="AB658" s="32">
        <f t="shared" si="9"/>
        <v>0</v>
      </c>
    </row>
    <row r="659">
      <c r="B659" s="32" t="str">
        <f>catalog!B771</f>
        <v/>
      </c>
      <c r="D659" s="41" t="str">
        <f>catalog!E771</f>
        <v/>
      </c>
      <c r="AB659" s="32">
        <f t="shared" si="9"/>
        <v>0</v>
      </c>
    </row>
    <row r="660">
      <c r="B660" s="32" t="str">
        <f>catalog!B772</f>
        <v/>
      </c>
      <c r="D660" s="41" t="str">
        <f>catalog!E772</f>
        <v/>
      </c>
      <c r="AB660" s="32">
        <f t="shared" si="9"/>
        <v>0</v>
      </c>
    </row>
    <row r="661">
      <c r="B661" s="32" t="str">
        <f>catalog!B773</f>
        <v/>
      </c>
      <c r="D661" s="41" t="str">
        <f>catalog!E773</f>
        <v/>
      </c>
      <c r="AB661" s="32">
        <f t="shared" si="9"/>
        <v>0</v>
      </c>
    </row>
    <row r="662">
      <c r="B662" s="32" t="str">
        <f>catalog!B774</f>
        <v/>
      </c>
      <c r="D662" s="41" t="str">
        <f>catalog!E774</f>
        <v/>
      </c>
      <c r="AB662" s="32">
        <f t="shared" si="9"/>
        <v>0</v>
      </c>
    </row>
    <row r="663">
      <c r="B663" s="32" t="str">
        <f>catalog!B775</f>
        <v/>
      </c>
      <c r="D663" s="41" t="str">
        <f>catalog!E775</f>
        <v/>
      </c>
      <c r="AB663" s="32">
        <f t="shared" si="9"/>
        <v>0</v>
      </c>
    </row>
    <row r="664">
      <c r="B664" s="32" t="str">
        <f>catalog!B776</f>
        <v/>
      </c>
      <c r="D664" s="41" t="str">
        <f>catalog!E776</f>
        <v/>
      </c>
      <c r="AB664" s="32">
        <f t="shared" si="9"/>
        <v>0</v>
      </c>
    </row>
    <row r="665">
      <c r="B665" s="32" t="str">
        <f>catalog!B777</f>
        <v/>
      </c>
      <c r="D665" s="41" t="str">
        <f>catalog!E777</f>
        <v/>
      </c>
      <c r="AB665" s="32">
        <f t="shared" si="9"/>
        <v>0</v>
      </c>
    </row>
    <row r="666">
      <c r="B666" s="32" t="str">
        <f>catalog!B778</f>
        <v/>
      </c>
      <c r="D666" s="41" t="str">
        <f>catalog!E778</f>
        <v/>
      </c>
      <c r="AB666" s="32">
        <f t="shared" si="9"/>
        <v>0</v>
      </c>
    </row>
    <row r="667">
      <c r="B667" s="32" t="str">
        <f>catalog!B779</f>
        <v/>
      </c>
      <c r="D667" s="41" t="str">
        <f>catalog!E779</f>
        <v/>
      </c>
      <c r="AB667" s="32">
        <f t="shared" si="9"/>
        <v>0</v>
      </c>
    </row>
    <row r="668">
      <c r="B668" s="32" t="str">
        <f>catalog!B780</f>
        <v/>
      </c>
      <c r="D668" s="41" t="str">
        <f>catalog!E780</f>
        <v/>
      </c>
      <c r="AB668" s="32">
        <f t="shared" si="9"/>
        <v>0</v>
      </c>
    </row>
    <row r="669">
      <c r="B669" s="32" t="str">
        <f>catalog!B781</f>
        <v/>
      </c>
      <c r="D669" s="41" t="str">
        <f>catalog!E781</f>
        <v/>
      </c>
      <c r="AB669" s="32">
        <f t="shared" si="9"/>
        <v>0</v>
      </c>
    </row>
    <row r="670">
      <c r="B670" s="32" t="str">
        <f>catalog!B782</f>
        <v/>
      </c>
      <c r="D670" s="41" t="str">
        <f>catalog!E782</f>
        <v/>
      </c>
      <c r="AB670" s="32">
        <f t="shared" si="9"/>
        <v>0</v>
      </c>
    </row>
    <row r="671">
      <c r="B671" s="32" t="str">
        <f>catalog!B783</f>
        <v/>
      </c>
      <c r="D671" s="41" t="str">
        <f>catalog!E783</f>
        <v/>
      </c>
      <c r="AB671" s="32">
        <f t="shared" si="9"/>
        <v>0</v>
      </c>
    </row>
    <row r="672">
      <c r="B672" s="32" t="str">
        <f>catalog!B784</f>
        <v/>
      </c>
      <c r="D672" s="41" t="str">
        <f>catalog!E784</f>
        <v/>
      </c>
      <c r="AB672" s="32">
        <f t="shared" si="9"/>
        <v>0</v>
      </c>
    </row>
    <row r="673">
      <c r="B673" s="32" t="str">
        <f>catalog!B785</f>
        <v/>
      </c>
      <c r="D673" s="41" t="str">
        <f>catalog!E785</f>
        <v/>
      </c>
      <c r="AB673" s="32">
        <f t="shared" si="9"/>
        <v>0</v>
      </c>
    </row>
    <row r="674">
      <c r="B674" s="32" t="str">
        <f>catalog!B786</f>
        <v/>
      </c>
      <c r="D674" s="41" t="str">
        <f>catalog!E786</f>
        <v/>
      </c>
      <c r="AB674" s="32">
        <f t="shared" si="9"/>
        <v>0</v>
      </c>
    </row>
    <row r="675">
      <c r="B675" s="32" t="str">
        <f>catalog!B787</f>
        <v/>
      </c>
      <c r="D675" s="41" t="str">
        <f>catalog!E787</f>
        <v/>
      </c>
      <c r="AB675" s="32">
        <f t="shared" si="9"/>
        <v>0</v>
      </c>
    </row>
    <row r="676">
      <c r="B676" s="32" t="str">
        <f>catalog!B788</f>
        <v/>
      </c>
      <c r="D676" s="41" t="str">
        <f>catalog!E788</f>
        <v/>
      </c>
      <c r="AB676" s="32">
        <f t="shared" si="9"/>
        <v>0</v>
      </c>
    </row>
    <row r="677">
      <c r="B677" s="32" t="str">
        <f>catalog!B789</f>
        <v/>
      </c>
      <c r="D677" s="41" t="str">
        <f>catalog!E789</f>
        <v/>
      </c>
      <c r="AB677" s="32">
        <f t="shared" si="9"/>
        <v>0</v>
      </c>
    </row>
    <row r="678">
      <c r="B678" s="32" t="str">
        <f>catalog!B790</f>
        <v/>
      </c>
      <c r="D678" s="41" t="str">
        <f>catalog!E790</f>
        <v/>
      </c>
      <c r="AB678" s="32">
        <f t="shared" si="9"/>
        <v>0</v>
      </c>
    </row>
    <row r="679">
      <c r="B679" s="32" t="str">
        <f>catalog!B791</f>
        <v/>
      </c>
      <c r="D679" s="41" t="str">
        <f>catalog!E791</f>
        <v/>
      </c>
      <c r="AB679" s="32">
        <f t="shared" si="9"/>
        <v>0</v>
      </c>
    </row>
    <row r="680">
      <c r="B680" s="32" t="str">
        <f>catalog!B792</f>
        <v/>
      </c>
      <c r="D680" s="41" t="str">
        <f>catalog!E792</f>
        <v/>
      </c>
      <c r="AB680" s="32">
        <f t="shared" si="9"/>
        <v>0</v>
      </c>
    </row>
    <row r="681">
      <c r="B681" s="32" t="str">
        <f>catalog!B793</f>
        <v/>
      </c>
      <c r="D681" s="41" t="str">
        <f>catalog!E793</f>
        <v/>
      </c>
      <c r="AB681" s="32">
        <f t="shared" si="9"/>
        <v>0</v>
      </c>
    </row>
    <row r="682">
      <c r="B682" s="32" t="str">
        <f>catalog!B794</f>
        <v/>
      </c>
      <c r="D682" s="41" t="str">
        <f>catalog!E794</f>
        <v/>
      </c>
      <c r="AB682" s="32">
        <f t="shared" si="9"/>
        <v>0</v>
      </c>
    </row>
    <row r="683">
      <c r="B683" s="32" t="str">
        <f>catalog!B795</f>
        <v/>
      </c>
      <c r="D683" s="41" t="str">
        <f>catalog!E795</f>
        <v/>
      </c>
      <c r="AB683" s="32">
        <f t="shared" si="9"/>
        <v>0</v>
      </c>
    </row>
    <row r="684">
      <c r="B684" s="32" t="str">
        <f>catalog!B796</f>
        <v/>
      </c>
      <c r="D684" s="41" t="str">
        <f>catalog!E796</f>
        <v/>
      </c>
      <c r="AB684" s="32">
        <f t="shared" si="9"/>
        <v>0</v>
      </c>
    </row>
    <row r="685">
      <c r="B685" s="32" t="str">
        <f>catalog!B797</f>
        <v/>
      </c>
      <c r="D685" s="41" t="str">
        <f>catalog!E797</f>
        <v/>
      </c>
      <c r="AB685" s="32">
        <f t="shared" si="9"/>
        <v>0</v>
      </c>
    </row>
    <row r="686">
      <c r="B686" s="32" t="str">
        <f>catalog!B798</f>
        <v/>
      </c>
      <c r="D686" s="41" t="str">
        <f>catalog!E798</f>
        <v/>
      </c>
      <c r="AB686" s="32">
        <f t="shared" si="9"/>
        <v>0</v>
      </c>
    </row>
    <row r="687">
      <c r="B687" s="32" t="str">
        <f>catalog!B799</f>
        <v/>
      </c>
      <c r="D687" s="41" t="str">
        <f>catalog!E799</f>
        <v/>
      </c>
      <c r="AB687" s="32">
        <f t="shared" si="9"/>
        <v>0</v>
      </c>
    </row>
    <row r="688">
      <c r="B688" s="32" t="str">
        <f>catalog!B800</f>
        <v/>
      </c>
      <c r="D688" s="41" t="str">
        <f>catalog!E800</f>
        <v/>
      </c>
      <c r="AB688" s="32">
        <f t="shared" si="9"/>
        <v>0</v>
      </c>
    </row>
    <row r="689">
      <c r="B689" s="32" t="str">
        <f>catalog!B801</f>
        <v/>
      </c>
      <c r="D689" s="41" t="str">
        <f>catalog!E801</f>
        <v/>
      </c>
      <c r="AB689" s="32">
        <f t="shared" si="9"/>
        <v>0</v>
      </c>
    </row>
    <row r="690">
      <c r="B690" s="32" t="str">
        <f>catalog!B802</f>
        <v/>
      </c>
      <c r="D690" s="41" t="str">
        <f>catalog!E802</f>
        <v/>
      </c>
      <c r="AB690" s="32">
        <f t="shared" si="9"/>
        <v>0</v>
      </c>
    </row>
    <row r="691">
      <c r="B691" s="32" t="str">
        <f>catalog!B803</f>
        <v/>
      </c>
      <c r="D691" s="41" t="str">
        <f>catalog!E803</f>
        <v/>
      </c>
      <c r="AB691" s="32">
        <f t="shared" si="9"/>
        <v>0</v>
      </c>
    </row>
    <row r="692">
      <c r="B692" s="32" t="str">
        <f>catalog!B804</f>
        <v/>
      </c>
      <c r="D692" s="41" t="str">
        <f>catalog!E804</f>
        <v/>
      </c>
      <c r="AB692" s="32">
        <f t="shared" si="9"/>
        <v>0</v>
      </c>
    </row>
    <row r="693">
      <c r="B693" s="32" t="str">
        <f>catalog!B805</f>
        <v/>
      </c>
      <c r="D693" s="41" t="str">
        <f>catalog!E805</f>
        <v/>
      </c>
      <c r="AB693" s="32">
        <f t="shared" si="9"/>
        <v>0</v>
      </c>
    </row>
    <row r="694">
      <c r="B694" s="32" t="str">
        <f>catalog!B806</f>
        <v/>
      </c>
      <c r="D694" s="41" t="str">
        <f>catalog!E806</f>
        <v/>
      </c>
      <c r="AB694" s="32">
        <f t="shared" si="9"/>
        <v>0</v>
      </c>
    </row>
    <row r="695">
      <c r="B695" s="32" t="str">
        <f>catalog!B807</f>
        <v/>
      </c>
      <c r="D695" s="41" t="str">
        <f>catalog!E807</f>
        <v/>
      </c>
      <c r="AB695" s="32">
        <f t="shared" si="9"/>
        <v>0</v>
      </c>
    </row>
    <row r="696">
      <c r="B696" s="32" t="str">
        <f>catalog!B808</f>
        <v/>
      </c>
      <c r="D696" s="41" t="str">
        <f>catalog!E808</f>
        <v/>
      </c>
      <c r="AB696" s="32">
        <f t="shared" si="9"/>
        <v>0</v>
      </c>
    </row>
    <row r="697">
      <c r="B697" s="32" t="str">
        <f>catalog!B809</f>
        <v/>
      </c>
      <c r="D697" s="41" t="str">
        <f>catalog!E809</f>
        <v/>
      </c>
      <c r="AB697" s="32">
        <f t="shared" si="9"/>
        <v>0</v>
      </c>
    </row>
    <row r="698">
      <c r="B698" s="32" t="str">
        <f>catalog!B810</f>
        <v/>
      </c>
      <c r="D698" s="41" t="str">
        <f>catalog!E810</f>
        <v/>
      </c>
      <c r="AB698" s="32">
        <f t="shared" si="9"/>
        <v>0</v>
      </c>
    </row>
    <row r="699">
      <c r="B699" s="32" t="str">
        <f>catalog!B811</f>
        <v/>
      </c>
      <c r="D699" s="41" t="str">
        <f>catalog!E811</f>
        <v/>
      </c>
      <c r="AB699" s="32">
        <f t="shared" si="9"/>
        <v>0</v>
      </c>
    </row>
    <row r="700">
      <c r="B700" s="32" t="str">
        <f>catalog!B812</f>
        <v/>
      </c>
      <c r="D700" s="41" t="str">
        <f>catalog!E812</f>
        <v/>
      </c>
      <c r="AB700" s="32">
        <f t="shared" si="9"/>
        <v>0</v>
      </c>
    </row>
    <row r="701">
      <c r="B701" s="32" t="str">
        <f>catalog!B813</f>
        <v/>
      </c>
      <c r="D701" s="41" t="str">
        <f>catalog!E813</f>
        <v/>
      </c>
      <c r="AB701" s="32">
        <f t="shared" si="9"/>
        <v>0</v>
      </c>
    </row>
    <row r="702">
      <c r="B702" s="32" t="str">
        <f>catalog!B814</f>
        <v/>
      </c>
      <c r="D702" s="41" t="str">
        <f>catalog!E814</f>
        <v/>
      </c>
      <c r="AB702" s="32">
        <f t="shared" si="9"/>
        <v>0</v>
      </c>
    </row>
    <row r="703">
      <c r="B703" s="32" t="str">
        <f>catalog!B815</f>
        <v/>
      </c>
      <c r="D703" s="41" t="str">
        <f>catalog!E815</f>
        <v/>
      </c>
      <c r="AB703" s="32">
        <f t="shared" si="9"/>
        <v>0</v>
      </c>
    </row>
    <row r="704">
      <c r="B704" s="32" t="str">
        <f>catalog!B816</f>
        <v/>
      </c>
      <c r="D704" s="41" t="str">
        <f>catalog!E816</f>
        <v/>
      </c>
      <c r="AB704" s="32">
        <f t="shared" si="9"/>
        <v>0</v>
      </c>
    </row>
    <row r="705">
      <c r="B705" s="32" t="str">
        <f>catalog!B817</f>
        <v/>
      </c>
      <c r="D705" s="41" t="str">
        <f>catalog!E817</f>
        <v/>
      </c>
      <c r="AB705" s="32">
        <f t="shared" si="9"/>
        <v>0</v>
      </c>
    </row>
    <row r="706">
      <c r="B706" s="32" t="str">
        <f>catalog!B818</f>
        <v/>
      </c>
      <c r="D706" s="41" t="str">
        <f>catalog!E818</f>
        <v/>
      </c>
      <c r="AB706" s="32">
        <f t="shared" si="9"/>
        <v>0</v>
      </c>
    </row>
    <row r="707">
      <c r="B707" s="32" t="str">
        <f>catalog!B819</f>
        <v/>
      </c>
      <c r="D707" s="41" t="str">
        <f>catalog!E819</f>
        <v/>
      </c>
      <c r="AB707" s="32">
        <f t="shared" si="9"/>
        <v>0</v>
      </c>
    </row>
    <row r="708">
      <c r="B708" s="32" t="str">
        <f>catalog!B820</f>
        <v/>
      </c>
      <c r="D708" s="41" t="str">
        <f>catalog!E820</f>
        <v/>
      </c>
      <c r="AB708" s="32">
        <f t="shared" si="9"/>
        <v>0</v>
      </c>
    </row>
    <row r="709">
      <c r="B709" s="32" t="str">
        <f>catalog!B821</f>
        <v/>
      </c>
      <c r="D709" s="41" t="str">
        <f>catalog!E821</f>
        <v/>
      </c>
      <c r="AB709" s="32">
        <f t="shared" si="9"/>
        <v>0</v>
      </c>
    </row>
    <row r="710">
      <c r="B710" s="32" t="str">
        <f>catalog!B822</f>
        <v/>
      </c>
      <c r="D710" s="41" t="str">
        <f>catalog!E822</f>
        <v/>
      </c>
      <c r="AB710" s="32">
        <f t="shared" si="9"/>
        <v>0</v>
      </c>
    </row>
    <row r="711">
      <c r="B711" s="32" t="str">
        <f>catalog!B823</f>
        <v/>
      </c>
      <c r="D711" s="41" t="str">
        <f>catalog!E823</f>
        <v/>
      </c>
      <c r="AB711" s="32">
        <f t="shared" si="9"/>
        <v>0</v>
      </c>
    </row>
    <row r="712">
      <c r="B712" s="32" t="str">
        <f>catalog!B824</f>
        <v/>
      </c>
      <c r="D712" s="41" t="str">
        <f>catalog!E824</f>
        <v/>
      </c>
      <c r="AB712" s="32">
        <f t="shared" si="9"/>
        <v>0</v>
      </c>
    </row>
    <row r="713">
      <c r="B713" s="32" t="str">
        <f>catalog!B825</f>
        <v/>
      </c>
      <c r="D713" s="41" t="str">
        <f>catalog!E825</f>
        <v/>
      </c>
      <c r="AB713" s="32">
        <f t="shared" si="9"/>
        <v>0</v>
      </c>
    </row>
    <row r="714">
      <c r="B714" s="32" t="str">
        <f>catalog!B826</f>
        <v/>
      </c>
      <c r="D714" s="41" t="str">
        <f>catalog!E826</f>
        <v/>
      </c>
      <c r="AB714" s="32">
        <f t="shared" si="9"/>
        <v>0</v>
      </c>
    </row>
    <row r="715">
      <c r="B715" s="32" t="str">
        <f>catalog!B827</f>
        <v/>
      </c>
      <c r="D715" s="41" t="str">
        <f>catalog!E827</f>
        <v/>
      </c>
      <c r="AB715" s="32">
        <f t="shared" si="9"/>
        <v>0</v>
      </c>
    </row>
    <row r="716">
      <c r="B716" s="32" t="str">
        <f>catalog!B828</f>
        <v/>
      </c>
      <c r="D716" s="41" t="str">
        <f>catalog!E828</f>
        <v/>
      </c>
      <c r="AB716" s="32">
        <f t="shared" si="9"/>
        <v>0</v>
      </c>
    </row>
    <row r="717">
      <c r="B717" s="32" t="str">
        <f>catalog!B829</f>
        <v/>
      </c>
      <c r="D717" s="41" t="str">
        <f>catalog!E829</f>
        <v/>
      </c>
      <c r="AB717" s="32">
        <f t="shared" si="9"/>
        <v>0</v>
      </c>
    </row>
    <row r="718">
      <c r="B718" s="32" t="str">
        <f>catalog!B830</f>
        <v/>
      </c>
      <c r="D718" s="41" t="str">
        <f>catalog!E830</f>
        <v/>
      </c>
      <c r="AB718" s="32">
        <f t="shared" si="9"/>
        <v>0</v>
      </c>
    </row>
    <row r="719">
      <c r="B719" s="32" t="str">
        <f>catalog!B831</f>
        <v/>
      </c>
      <c r="D719" s="41" t="str">
        <f>catalog!E831</f>
        <v/>
      </c>
      <c r="AB719" s="32">
        <f t="shared" si="9"/>
        <v>0</v>
      </c>
    </row>
    <row r="720">
      <c r="B720" s="32" t="str">
        <f>catalog!B832</f>
        <v/>
      </c>
      <c r="D720" s="41" t="str">
        <f>catalog!E832</f>
        <v/>
      </c>
      <c r="AB720" s="32">
        <f t="shared" si="9"/>
        <v>0</v>
      </c>
    </row>
    <row r="721">
      <c r="B721" s="32" t="str">
        <f>catalog!B833</f>
        <v/>
      </c>
      <c r="D721" s="41" t="str">
        <f>catalog!E833</f>
        <v/>
      </c>
      <c r="AB721" s="32">
        <f t="shared" si="9"/>
        <v>0</v>
      </c>
    </row>
    <row r="722">
      <c r="B722" s="32" t="str">
        <f>catalog!B834</f>
        <v/>
      </c>
      <c r="D722" s="41" t="str">
        <f>catalog!E834</f>
        <v/>
      </c>
      <c r="AB722" s="32">
        <f t="shared" si="9"/>
        <v>0</v>
      </c>
    </row>
    <row r="723">
      <c r="B723" s="32" t="str">
        <f>catalog!B835</f>
        <v/>
      </c>
      <c r="D723" s="41" t="str">
        <f>catalog!E835</f>
        <v/>
      </c>
      <c r="AB723" s="32">
        <f t="shared" si="9"/>
        <v>0</v>
      </c>
    </row>
    <row r="724">
      <c r="B724" s="32" t="str">
        <f>catalog!B836</f>
        <v/>
      </c>
      <c r="D724" s="41" t="str">
        <f>catalog!E836</f>
        <v/>
      </c>
      <c r="AB724" s="32">
        <f t="shared" si="9"/>
        <v>0</v>
      </c>
    </row>
    <row r="725">
      <c r="B725" s="32" t="str">
        <f>catalog!B837</f>
        <v/>
      </c>
      <c r="D725" s="41" t="str">
        <f>catalog!E837</f>
        <v/>
      </c>
      <c r="AB725" s="32">
        <f t="shared" si="9"/>
        <v>0</v>
      </c>
    </row>
    <row r="726">
      <c r="B726" s="32" t="str">
        <f>catalog!B838</f>
        <v/>
      </c>
      <c r="D726" s="41" t="str">
        <f>catalog!E838</f>
        <v/>
      </c>
      <c r="AB726" s="32">
        <f t="shared" si="9"/>
        <v>0</v>
      </c>
    </row>
    <row r="727">
      <c r="B727" s="32" t="str">
        <f>catalog!B839</f>
        <v/>
      </c>
      <c r="D727" s="41" t="str">
        <f>catalog!E839</f>
        <v/>
      </c>
      <c r="AB727" s="32">
        <f t="shared" si="9"/>
        <v>0</v>
      </c>
    </row>
    <row r="728">
      <c r="B728" s="32" t="str">
        <f>catalog!B840</f>
        <v/>
      </c>
      <c r="D728" s="41" t="str">
        <f>catalog!E840</f>
        <v/>
      </c>
      <c r="AB728" s="32">
        <f t="shared" si="9"/>
        <v>0</v>
      </c>
    </row>
    <row r="729">
      <c r="B729" s="32" t="str">
        <f>catalog!B841</f>
        <v/>
      </c>
      <c r="D729" s="41" t="str">
        <f>catalog!E841</f>
        <v/>
      </c>
      <c r="AB729" s="32">
        <f t="shared" si="9"/>
        <v>0</v>
      </c>
    </row>
    <row r="730">
      <c r="B730" s="32" t="str">
        <f>catalog!B842</f>
        <v/>
      </c>
      <c r="D730" s="41" t="str">
        <f>catalog!E842</f>
        <v/>
      </c>
      <c r="AB730" s="32">
        <f t="shared" si="9"/>
        <v>0</v>
      </c>
    </row>
    <row r="731">
      <c r="B731" s="32" t="str">
        <f>catalog!B843</f>
        <v/>
      </c>
      <c r="D731" s="41" t="str">
        <f>catalog!E843</f>
        <v/>
      </c>
      <c r="AB731" s="32">
        <f t="shared" si="9"/>
        <v>0</v>
      </c>
    </row>
    <row r="732">
      <c r="B732" s="32" t="str">
        <f>catalog!B844</f>
        <v/>
      </c>
      <c r="D732" s="41" t="str">
        <f>catalog!E844</f>
        <v/>
      </c>
      <c r="AB732" s="32">
        <f t="shared" si="9"/>
        <v>0</v>
      </c>
    </row>
    <row r="733">
      <c r="B733" s="32" t="str">
        <f>catalog!B845</f>
        <v/>
      </c>
      <c r="D733" s="41" t="str">
        <f>catalog!E845</f>
        <v/>
      </c>
      <c r="AB733" s="32">
        <f t="shared" si="9"/>
        <v>0</v>
      </c>
    </row>
    <row r="734">
      <c r="B734" s="32" t="str">
        <f>catalog!B846</f>
        <v/>
      </c>
      <c r="D734" s="41" t="str">
        <f>catalog!E846</f>
        <v/>
      </c>
      <c r="AB734" s="32">
        <f t="shared" si="9"/>
        <v>0</v>
      </c>
    </row>
    <row r="735">
      <c r="B735" s="32" t="str">
        <f>catalog!B847</f>
        <v/>
      </c>
      <c r="D735" s="41" t="str">
        <f>catalog!E847</f>
        <v/>
      </c>
      <c r="AB735" s="32">
        <f t="shared" si="9"/>
        <v>0</v>
      </c>
    </row>
    <row r="736">
      <c r="B736" s="32" t="str">
        <f>catalog!B848</f>
        <v/>
      </c>
      <c r="D736" s="41" t="str">
        <f>catalog!E848</f>
        <v/>
      </c>
      <c r="AB736" s="32">
        <f t="shared" si="9"/>
        <v>0</v>
      </c>
    </row>
    <row r="737">
      <c r="B737" s="32" t="str">
        <f>catalog!B849</f>
        <v/>
      </c>
      <c r="D737" s="41" t="str">
        <f>catalog!E849</f>
        <v/>
      </c>
      <c r="AB737" s="32">
        <f t="shared" si="9"/>
        <v>0</v>
      </c>
    </row>
    <row r="738">
      <c r="B738" s="32" t="str">
        <f>catalog!B850</f>
        <v/>
      </c>
      <c r="D738" s="41" t="str">
        <f>catalog!E850</f>
        <v/>
      </c>
      <c r="AB738" s="32">
        <f t="shared" si="9"/>
        <v>0</v>
      </c>
    </row>
    <row r="739">
      <c r="B739" s="32" t="str">
        <f>catalog!B851</f>
        <v/>
      </c>
      <c r="D739" s="41" t="str">
        <f>catalog!E851</f>
        <v/>
      </c>
      <c r="AB739" s="32">
        <f t="shared" si="9"/>
        <v>0</v>
      </c>
    </row>
    <row r="740">
      <c r="B740" s="32" t="str">
        <f>catalog!B852</f>
        <v/>
      </c>
      <c r="D740" s="41" t="str">
        <f>catalog!E852</f>
        <v/>
      </c>
      <c r="AB740" s="32">
        <f t="shared" si="9"/>
        <v>0</v>
      </c>
    </row>
    <row r="741">
      <c r="B741" s="32" t="str">
        <f>catalog!B853</f>
        <v/>
      </c>
      <c r="D741" s="41" t="str">
        <f>catalog!E853</f>
        <v/>
      </c>
      <c r="AB741" s="32">
        <f t="shared" si="9"/>
        <v>0</v>
      </c>
    </row>
    <row r="742">
      <c r="B742" s="32" t="str">
        <f>catalog!B854</f>
        <v/>
      </c>
      <c r="D742" s="41" t="str">
        <f>catalog!E854</f>
        <v/>
      </c>
      <c r="AB742" s="32">
        <f t="shared" si="9"/>
        <v>0</v>
      </c>
    </row>
    <row r="743">
      <c r="B743" s="32" t="str">
        <f>catalog!B855</f>
        <v/>
      </c>
      <c r="D743" s="41" t="str">
        <f>catalog!E855</f>
        <v/>
      </c>
      <c r="AB743" s="32">
        <f t="shared" si="9"/>
        <v>0</v>
      </c>
    </row>
    <row r="744">
      <c r="B744" s="32" t="str">
        <f>catalog!B856</f>
        <v/>
      </c>
      <c r="D744" s="41" t="str">
        <f>catalog!E856</f>
        <v/>
      </c>
      <c r="AB744" s="32">
        <f t="shared" si="9"/>
        <v>0</v>
      </c>
    </row>
    <row r="745">
      <c r="B745" s="32" t="str">
        <f>catalog!B857</f>
        <v/>
      </c>
      <c r="D745" s="41" t="str">
        <f>catalog!E857</f>
        <v/>
      </c>
      <c r="AB745" s="32">
        <f t="shared" si="9"/>
        <v>0</v>
      </c>
    </row>
    <row r="746">
      <c r="B746" s="32" t="str">
        <f>catalog!B858</f>
        <v/>
      </c>
      <c r="D746" s="41" t="str">
        <f>catalog!E858</f>
        <v/>
      </c>
      <c r="AB746" s="32">
        <f t="shared" si="9"/>
        <v>0</v>
      </c>
    </row>
    <row r="747">
      <c r="B747" s="32" t="str">
        <f>catalog!B859</f>
        <v/>
      </c>
      <c r="D747" s="41" t="str">
        <f>catalog!E859</f>
        <v/>
      </c>
      <c r="AB747" s="32">
        <f t="shared" si="9"/>
        <v>0</v>
      </c>
    </row>
    <row r="748">
      <c r="B748" s="32" t="str">
        <f>catalog!B860</f>
        <v/>
      </c>
      <c r="D748" s="41" t="str">
        <f>catalog!E860</f>
        <v/>
      </c>
      <c r="AB748" s="32">
        <f t="shared" si="9"/>
        <v>0</v>
      </c>
    </row>
    <row r="749">
      <c r="B749" s="32" t="str">
        <f>catalog!B861</f>
        <v/>
      </c>
      <c r="D749" s="41" t="str">
        <f>catalog!E861</f>
        <v/>
      </c>
      <c r="AB749" s="32">
        <f t="shared" si="9"/>
        <v>0</v>
      </c>
    </row>
    <row r="750">
      <c r="B750" s="32" t="str">
        <f>catalog!B862</f>
        <v/>
      </c>
      <c r="D750" s="41" t="str">
        <f>catalog!E862</f>
        <v/>
      </c>
      <c r="AB750" s="32">
        <f t="shared" si="9"/>
        <v>0</v>
      </c>
    </row>
    <row r="751">
      <c r="B751" s="32" t="str">
        <f>catalog!B863</f>
        <v/>
      </c>
      <c r="D751" s="41" t="str">
        <f>catalog!E863</f>
        <v/>
      </c>
      <c r="AB751" s="32">
        <f t="shared" si="9"/>
        <v>0</v>
      </c>
    </row>
    <row r="752">
      <c r="B752" s="32" t="str">
        <f>catalog!B864</f>
        <v/>
      </c>
      <c r="D752" s="41" t="str">
        <f>catalog!E864</f>
        <v/>
      </c>
      <c r="AB752" s="32">
        <f t="shared" si="9"/>
        <v>0</v>
      </c>
    </row>
    <row r="753">
      <c r="B753" s="32" t="str">
        <f>catalog!B865</f>
        <v/>
      </c>
      <c r="D753" s="41" t="str">
        <f>catalog!E865</f>
        <v/>
      </c>
      <c r="AB753" s="32">
        <f t="shared" si="9"/>
        <v>0</v>
      </c>
    </row>
    <row r="754">
      <c r="B754" s="32" t="str">
        <f>catalog!B866</f>
        <v/>
      </c>
      <c r="D754" s="41" t="str">
        <f>catalog!E866</f>
        <v/>
      </c>
      <c r="AB754" s="32">
        <f t="shared" si="9"/>
        <v>0</v>
      </c>
    </row>
    <row r="755">
      <c r="B755" s="32" t="str">
        <f>catalog!B867</f>
        <v/>
      </c>
      <c r="D755" s="41" t="str">
        <f>catalog!E867</f>
        <v/>
      </c>
      <c r="AB755" s="32">
        <f t="shared" si="9"/>
        <v>0</v>
      </c>
    </row>
    <row r="756">
      <c r="B756" s="32" t="str">
        <f>catalog!B868</f>
        <v/>
      </c>
      <c r="D756" s="41" t="str">
        <f>catalog!E868</f>
        <v/>
      </c>
      <c r="AB756" s="32">
        <f t="shared" si="9"/>
        <v>0</v>
      </c>
    </row>
    <row r="757">
      <c r="B757" s="32" t="str">
        <f>catalog!B869</f>
        <v/>
      </c>
      <c r="D757" s="41" t="str">
        <f>catalog!E869</f>
        <v/>
      </c>
      <c r="AB757" s="32">
        <f t="shared" si="9"/>
        <v>0</v>
      </c>
    </row>
    <row r="758">
      <c r="B758" s="32" t="str">
        <f>catalog!B870</f>
        <v/>
      </c>
      <c r="D758" s="41" t="str">
        <f>catalog!E870</f>
        <v/>
      </c>
      <c r="AB758" s="32">
        <f t="shared" si="9"/>
        <v>0</v>
      </c>
    </row>
    <row r="759">
      <c r="B759" s="32" t="str">
        <f>catalog!B871</f>
        <v/>
      </c>
      <c r="D759" s="41" t="str">
        <f>catalog!E871</f>
        <v/>
      </c>
      <c r="AB759" s="32">
        <f t="shared" si="9"/>
        <v>0</v>
      </c>
    </row>
    <row r="760">
      <c r="B760" s="32" t="str">
        <f>catalog!B872</f>
        <v/>
      </c>
      <c r="D760" s="41" t="str">
        <f>catalog!E872</f>
        <v/>
      </c>
      <c r="AB760" s="32">
        <f t="shared" si="9"/>
        <v>0</v>
      </c>
    </row>
    <row r="761">
      <c r="B761" s="32" t="str">
        <f>catalog!B873</f>
        <v/>
      </c>
      <c r="D761" s="41" t="str">
        <f>catalog!E873</f>
        <v/>
      </c>
      <c r="AB761" s="32">
        <f t="shared" si="9"/>
        <v>0</v>
      </c>
    </row>
    <row r="762">
      <c r="B762" s="32" t="str">
        <f>catalog!B874</f>
        <v/>
      </c>
      <c r="D762" s="41" t="str">
        <f>catalog!E874</f>
        <v/>
      </c>
      <c r="AB762" s="32">
        <f t="shared" si="9"/>
        <v>0</v>
      </c>
    </row>
    <row r="763">
      <c r="B763" s="32" t="str">
        <f>catalog!B875</f>
        <v/>
      </c>
      <c r="D763" s="41" t="str">
        <f>catalog!E875</f>
        <v/>
      </c>
      <c r="AB763" s="32">
        <f t="shared" si="9"/>
        <v>0</v>
      </c>
    </row>
    <row r="764">
      <c r="B764" s="32" t="str">
        <f>catalog!B876</f>
        <v/>
      </c>
      <c r="D764" s="41" t="str">
        <f>catalog!E876</f>
        <v/>
      </c>
      <c r="AB764" s="32">
        <f t="shared" si="9"/>
        <v>0</v>
      </c>
    </row>
    <row r="765">
      <c r="B765" s="32" t="str">
        <f>catalog!B877</f>
        <v/>
      </c>
      <c r="D765" s="41" t="str">
        <f>catalog!E877</f>
        <v/>
      </c>
      <c r="AB765" s="32">
        <f t="shared" si="9"/>
        <v>0</v>
      </c>
    </row>
    <row r="766">
      <c r="B766" s="32" t="str">
        <f>catalog!B878</f>
        <v/>
      </c>
      <c r="D766" s="41" t="str">
        <f>catalog!E878</f>
        <v/>
      </c>
      <c r="AB766" s="32">
        <f t="shared" si="9"/>
        <v>0</v>
      </c>
    </row>
    <row r="767">
      <c r="B767" s="32" t="str">
        <f>catalog!B879</f>
        <v/>
      </c>
      <c r="D767" s="41" t="str">
        <f>catalog!E879</f>
        <v/>
      </c>
      <c r="AB767" s="32">
        <f t="shared" si="9"/>
        <v>0</v>
      </c>
    </row>
    <row r="768">
      <c r="B768" s="32" t="str">
        <f>catalog!B880</f>
        <v/>
      </c>
      <c r="D768" s="41" t="str">
        <f>catalog!E880</f>
        <v/>
      </c>
      <c r="AB768" s="32">
        <f t="shared" si="9"/>
        <v>0</v>
      </c>
    </row>
    <row r="769">
      <c r="B769" s="32" t="str">
        <f>catalog!B881</f>
        <v/>
      </c>
      <c r="D769" s="41" t="str">
        <f>catalog!E881</f>
        <v/>
      </c>
      <c r="AB769" s="32">
        <f t="shared" si="9"/>
        <v>0</v>
      </c>
    </row>
    <row r="770">
      <c r="B770" s="32" t="str">
        <f>catalog!B882</f>
        <v/>
      </c>
      <c r="D770" s="41" t="str">
        <f>catalog!E882</f>
        <v/>
      </c>
      <c r="AB770" s="32">
        <f t="shared" si="9"/>
        <v>0</v>
      </c>
    </row>
    <row r="771">
      <c r="B771" s="32" t="str">
        <f>catalog!B883</f>
        <v/>
      </c>
      <c r="D771" s="41" t="str">
        <f>catalog!E883</f>
        <v/>
      </c>
      <c r="AB771" s="32">
        <f t="shared" si="9"/>
        <v>0</v>
      </c>
    </row>
    <row r="772">
      <c r="B772" s="32" t="str">
        <f>catalog!B884</f>
        <v/>
      </c>
      <c r="D772" s="41" t="str">
        <f>catalog!E884</f>
        <v/>
      </c>
      <c r="AB772" s="32">
        <f t="shared" si="9"/>
        <v>0</v>
      </c>
    </row>
    <row r="773">
      <c r="B773" s="32" t="str">
        <f>catalog!B885</f>
        <v/>
      </c>
      <c r="D773" s="41" t="str">
        <f>catalog!E885</f>
        <v/>
      </c>
      <c r="AB773" s="32">
        <f t="shared" si="9"/>
        <v>0</v>
      </c>
    </row>
    <row r="774">
      <c r="B774" s="32" t="str">
        <f>catalog!B886</f>
        <v/>
      </c>
      <c r="D774" s="41" t="str">
        <f>catalog!E886</f>
        <v/>
      </c>
      <c r="AB774" s="32">
        <f t="shared" si="9"/>
        <v>0</v>
      </c>
    </row>
    <row r="775">
      <c r="B775" s="32" t="str">
        <f>catalog!B887</f>
        <v/>
      </c>
      <c r="D775" s="41" t="str">
        <f>catalog!E887</f>
        <v/>
      </c>
      <c r="AB775" s="32">
        <f t="shared" si="9"/>
        <v>0</v>
      </c>
    </row>
    <row r="776">
      <c r="B776" s="32" t="str">
        <f>catalog!B888</f>
        <v/>
      </c>
      <c r="D776" s="41" t="str">
        <f>catalog!E888</f>
        <v/>
      </c>
      <c r="AB776" s="32">
        <f t="shared" si="9"/>
        <v>0</v>
      </c>
    </row>
    <row r="777">
      <c r="B777" s="32" t="str">
        <f>catalog!B889</f>
        <v/>
      </c>
      <c r="D777" s="41" t="str">
        <f>catalog!E889</f>
        <v/>
      </c>
      <c r="AB777" s="32">
        <f t="shared" si="9"/>
        <v>0</v>
      </c>
    </row>
    <row r="778">
      <c r="B778" s="32" t="str">
        <f>catalog!B890</f>
        <v/>
      </c>
      <c r="D778" s="41" t="str">
        <f>catalog!E890</f>
        <v/>
      </c>
      <c r="AB778" s="32">
        <f t="shared" si="9"/>
        <v>0</v>
      </c>
    </row>
    <row r="779">
      <c r="B779" s="32" t="str">
        <f>catalog!B891</f>
        <v/>
      </c>
      <c r="D779" s="41" t="str">
        <f>catalog!E891</f>
        <v/>
      </c>
      <c r="AB779" s="32">
        <f t="shared" si="9"/>
        <v>0</v>
      </c>
    </row>
    <row r="780">
      <c r="B780" s="32" t="str">
        <f>catalog!B892</f>
        <v/>
      </c>
      <c r="D780" s="41" t="str">
        <f>catalog!E892</f>
        <v/>
      </c>
      <c r="AB780" s="32">
        <f t="shared" si="9"/>
        <v>0</v>
      </c>
    </row>
    <row r="781">
      <c r="B781" s="32" t="str">
        <f>catalog!B893</f>
        <v/>
      </c>
      <c r="D781" s="41" t="str">
        <f>catalog!E893</f>
        <v/>
      </c>
      <c r="AB781" s="32">
        <f t="shared" si="9"/>
        <v>0</v>
      </c>
    </row>
    <row r="782">
      <c r="B782" s="32" t="str">
        <f>catalog!B894</f>
        <v/>
      </c>
      <c r="D782" s="41" t="str">
        <f>catalog!E894</f>
        <v/>
      </c>
      <c r="AB782" s="32">
        <f t="shared" si="9"/>
        <v>0</v>
      </c>
    </row>
    <row r="783">
      <c r="B783" s="32" t="str">
        <f>catalog!B895</f>
        <v/>
      </c>
      <c r="D783" s="41" t="str">
        <f>catalog!E895</f>
        <v/>
      </c>
      <c r="AB783" s="32">
        <f t="shared" si="9"/>
        <v>0</v>
      </c>
    </row>
    <row r="784">
      <c r="B784" s="32" t="str">
        <f>catalog!B896</f>
        <v/>
      </c>
      <c r="D784" s="41" t="str">
        <f>catalog!E896</f>
        <v/>
      </c>
      <c r="AB784" s="32">
        <f t="shared" si="9"/>
        <v>0</v>
      </c>
    </row>
    <row r="785">
      <c r="B785" s="32" t="str">
        <f>catalog!B897</f>
        <v/>
      </c>
      <c r="D785" s="41" t="str">
        <f>catalog!E897</f>
        <v/>
      </c>
      <c r="AB785" s="32">
        <f t="shared" si="9"/>
        <v>0</v>
      </c>
    </row>
    <row r="786">
      <c r="B786" s="32" t="str">
        <f>catalog!B898</f>
        <v/>
      </c>
      <c r="D786" s="41" t="str">
        <f>catalog!E898</f>
        <v/>
      </c>
      <c r="AB786" s="32">
        <f t="shared" si="9"/>
        <v>0</v>
      </c>
    </row>
    <row r="787">
      <c r="B787" s="32" t="str">
        <f>catalog!B899</f>
        <v/>
      </c>
      <c r="D787" s="41" t="str">
        <f>catalog!E899</f>
        <v/>
      </c>
      <c r="AB787" s="32">
        <f t="shared" si="9"/>
        <v>0</v>
      </c>
    </row>
    <row r="788">
      <c r="B788" s="32" t="str">
        <f>catalog!B900</f>
        <v/>
      </c>
      <c r="D788" s="41" t="str">
        <f>catalog!E900</f>
        <v/>
      </c>
      <c r="AB788" s="32">
        <f t="shared" si="9"/>
        <v>0</v>
      </c>
    </row>
    <row r="789">
      <c r="B789" s="32" t="str">
        <f>catalog!B901</f>
        <v/>
      </c>
      <c r="D789" s="41" t="str">
        <f>catalog!E901</f>
        <v/>
      </c>
      <c r="AB789" s="32">
        <f t="shared" si="9"/>
        <v>0</v>
      </c>
    </row>
    <row r="790">
      <c r="B790" s="32" t="str">
        <f>catalog!B902</f>
        <v/>
      </c>
      <c r="D790" s="41" t="str">
        <f>catalog!E902</f>
        <v/>
      </c>
      <c r="AB790" s="32">
        <f t="shared" si="9"/>
        <v>0</v>
      </c>
    </row>
    <row r="791">
      <c r="B791" s="32" t="str">
        <f>catalog!B903</f>
        <v/>
      </c>
      <c r="D791" s="41" t="str">
        <f>catalog!E903</f>
        <v/>
      </c>
      <c r="AB791" s="32">
        <f t="shared" si="9"/>
        <v>0</v>
      </c>
    </row>
    <row r="792">
      <c r="B792" s="32" t="str">
        <f>catalog!B904</f>
        <v/>
      </c>
      <c r="D792" s="41" t="str">
        <f>catalog!E904</f>
        <v/>
      </c>
      <c r="AB792" s="32">
        <f t="shared" si="9"/>
        <v>0</v>
      </c>
    </row>
    <row r="793">
      <c r="B793" s="32" t="str">
        <f>catalog!B905</f>
        <v/>
      </c>
      <c r="D793" s="41" t="str">
        <f>catalog!E905</f>
        <v/>
      </c>
      <c r="AB793" s="32">
        <f t="shared" si="9"/>
        <v>0</v>
      </c>
    </row>
    <row r="794">
      <c r="B794" s="32" t="str">
        <f>catalog!B906</f>
        <v/>
      </c>
      <c r="D794" s="41" t="str">
        <f>catalog!E906</f>
        <v/>
      </c>
      <c r="AB794" s="32">
        <f t="shared" si="9"/>
        <v>0</v>
      </c>
    </row>
    <row r="795">
      <c r="B795" s="32" t="str">
        <f>catalog!B907</f>
        <v/>
      </c>
      <c r="D795" s="41" t="str">
        <f>catalog!E907</f>
        <v/>
      </c>
      <c r="AB795" s="32">
        <f t="shared" si="9"/>
        <v>0</v>
      </c>
    </row>
    <row r="796">
      <c r="B796" s="32" t="str">
        <f>catalog!B908</f>
        <v/>
      </c>
      <c r="D796" s="41" t="str">
        <f>catalog!E908</f>
        <v/>
      </c>
      <c r="AB796" s="32">
        <f t="shared" si="9"/>
        <v>0</v>
      </c>
    </row>
    <row r="797">
      <c r="B797" s="32" t="str">
        <f>catalog!B909</f>
        <v/>
      </c>
      <c r="D797" s="41" t="str">
        <f>catalog!E909</f>
        <v/>
      </c>
      <c r="AB797" s="32">
        <f t="shared" si="9"/>
        <v>0</v>
      </c>
    </row>
    <row r="798">
      <c r="B798" s="32" t="str">
        <f>catalog!B910</f>
        <v/>
      </c>
      <c r="D798" s="41" t="str">
        <f>catalog!E910</f>
        <v/>
      </c>
      <c r="AB798" s="32">
        <f t="shared" si="9"/>
        <v>0</v>
      </c>
    </row>
    <row r="799">
      <c r="B799" s="32" t="str">
        <f>catalog!B911</f>
        <v/>
      </c>
      <c r="D799" s="41" t="str">
        <f>catalog!E911</f>
        <v/>
      </c>
      <c r="AB799" s="32">
        <f t="shared" si="9"/>
        <v>0</v>
      </c>
    </row>
    <row r="800">
      <c r="B800" s="32" t="str">
        <f>catalog!B912</f>
        <v/>
      </c>
      <c r="D800" s="41" t="str">
        <f>catalog!E912</f>
        <v/>
      </c>
      <c r="AB800" s="32">
        <f t="shared" si="9"/>
        <v>0</v>
      </c>
    </row>
    <row r="801">
      <c r="B801" s="32" t="str">
        <f>catalog!B913</f>
        <v/>
      </c>
      <c r="D801" s="41" t="str">
        <f>catalog!E913</f>
        <v/>
      </c>
      <c r="AB801" s="32">
        <f t="shared" si="9"/>
        <v>0</v>
      </c>
    </row>
    <row r="802">
      <c r="B802" s="32" t="str">
        <f>catalog!B914</f>
        <v/>
      </c>
      <c r="D802" s="41" t="str">
        <f>catalog!E914</f>
        <v/>
      </c>
      <c r="AB802" s="32">
        <f t="shared" si="9"/>
        <v>0</v>
      </c>
    </row>
    <row r="803">
      <c r="B803" s="32" t="str">
        <f>catalog!B915</f>
        <v/>
      </c>
      <c r="D803" s="41" t="str">
        <f>catalog!E915</f>
        <v/>
      </c>
      <c r="AB803" s="32">
        <f t="shared" si="9"/>
        <v>0</v>
      </c>
    </row>
    <row r="804">
      <c r="B804" s="32" t="str">
        <f>catalog!B916</f>
        <v/>
      </c>
      <c r="D804" s="41" t="str">
        <f>catalog!E916</f>
        <v/>
      </c>
      <c r="AB804" s="32">
        <f t="shared" si="9"/>
        <v>0</v>
      </c>
    </row>
    <row r="805">
      <c r="B805" s="32" t="str">
        <f>catalog!B917</f>
        <v/>
      </c>
      <c r="D805" s="41" t="str">
        <f>catalog!E917</f>
        <v/>
      </c>
      <c r="AB805" s="32">
        <f t="shared" si="9"/>
        <v>0</v>
      </c>
    </row>
    <row r="806">
      <c r="B806" s="32" t="str">
        <f>catalog!B918</f>
        <v/>
      </c>
      <c r="D806" s="41" t="str">
        <f>catalog!E918</f>
        <v/>
      </c>
      <c r="AB806" s="32">
        <f t="shared" si="9"/>
        <v>0</v>
      </c>
    </row>
    <row r="807">
      <c r="B807" s="32" t="str">
        <f>catalog!B919</f>
        <v/>
      </c>
      <c r="D807" s="41" t="str">
        <f>catalog!E919</f>
        <v/>
      </c>
      <c r="AB807" s="32">
        <f t="shared" si="9"/>
        <v>0</v>
      </c>
    </row>
    <row r="808">
      <c r="B808" s="32" t="str">
        <f>catalog!B920</f>
        <v/>
      </c>
      <c r="D808" s="41" t="str">
        <f>catalog!E920</f>
        <v/>
      </c>
      <c r="AB808" s="32">
        <f t="shared" si="9"/>
        <v>0</v>
      </c>
    </row>
    <row r="809">
      <c r="B809" s="32" t="str">
        <f>catalog!B921</f>
        <v/>
      </c>
      <c r="D809" s="41" t="str">
        <f>catalog!E921</f>
        <v/>
      </c>
      <c r="AB809" s="32">
        <f t="shared" si="9"/>
        <v>0</v>
      </c>
    </row>
    <row r="810">
      <c r="B810" s="32" t="str">
        <f>catalog!B922</f>
        <v/>
      </c>
      <c r="D810" s="41" t="str">
        <f>catalog!E922</f>
        <v/>
      </c>
      <c r="AB810" s="32">
        <f t="shared" si="9"/>
        <v>0</v>
      </c>
    </row>
    <row r="811">
      <c r="B811" s="32" t="str">
        <f>catalog!B923</f>
        <v/>
      </c>
      <c r="D811" s="41" t="str">
        <f>catalog!E923</f>
        <v/>
      </c>
      <c r="AB811" s="32">
        <f t="shared" si="9"/>
        <v>0</v>
      </c>
    </row>
    <row r="812">
      <c r="B812" s="32" t="str">
        <f>catalog!B924</f>
        <v/>
      </c>
      <c r="D812" s="41" t="str">
        <f>catalog!E924</f>
        <v/>
      </c>
      <c r="AB812" s="32">
        <f t="shared" si="9"/>
        <v>0</v>
      </c>
    </row>
    <row r="813">
      <c r="B813" s="32" t="str">
        <f>catalog!B925</f>
        <v/>
      </c>
      <c r="D813" s="41" t="str">
        <f>catalog!E925</f>
        <v/>
      </c>
      <c r="AB813" s="32">
        <f t="shared" si="9"/>
        <v>0</v>
      </c>
    </row>
    <row r="814">
      <c r="B814" s="32" t="str">
        <f>catalog!B926</f>
        <v/>
      </c>
      <c r="D814" s="41" t="str">
        <f>catalog!E926</f>
        <v/>
      </c>
      <c r="AB814" s="32">
        <f t="shared" si="9"/>
        <v>0</v>
      </c>
    </row>
    <row r="815">
      <c r="B815" s="32" t="str">
        <f>catalog!B927</f>
        <v/>
      </c>
      <c r="D815" s="41" t="str">
        <f>catalog!E927</f>
        <v/>
      </c>
      <c r="AB815" s="32">
        <f t="shared" si="9"/>
        <v>0</v>
      </c>
    </row>
    <row r="816">
      <c r="B816" s="32" t="str">
        <f>catalog!B928</f>
        <v/>
      </c>
      <c r="D816" s="41" t="str">
        <f>catalog!E928</f>
        <v/>
      </c>
      <c r="AB816" s="32">
        <f t="shared" si="9"/>
        <v>0</v>
      </c>
    </row>
    <row r="817">
      <c r="B817" s="32" t="str">
        <f>catalog!B929</f>
        <v/>
      </c>
      <c r="D817" s="41" t="str">
        <f>catalog!E929</f>
        <v/>
      </c>
      <c r="AB817" s="32">
        <f t="shared" si="9"/>
        <v>0</v>
      </c>
    </row>
    <row r="818">
      <c r="B818" s="32" t="str">
        <f>catalog!B930</f>
        <v/>
      </c>
      <c r="D818" s="41" t="str">
        <f>catalog!E930</f>
        <v/>
      </c>
      <c r="AB818" s="32">
        <f t="shared" si="9"/>
        <v>0</v>
      </c>
    </row>
    <row r="819">
      <c r="B819" s="32" t="str">
        <f>catalog!B931</f>
        <v/>
      </c>
      <c r="D819" s="41" t="str">
        <f>catalog!E931</f>
        <v/>
      </c>
      <c r="AB819" s="32">
        <f t="shared" si="9"/>
        <v>0</v>
      </c>
    </row>
    <row r="820">
      <c r="B820" s="32" t="str">
        <f>catalog!B932</f>
        <v/>
      </c>
      <c r="D820" s="41" t="str">
        <f>catalog!E932</f>
        <v/>
      </c>
      <c r="AB820" s="32">
        <f t="shared" si="9"/>
        <v>0</v>
      </c>
    </row>
    <row r="821">
      <c r="B821" s="32" t="str">
        <f>catalog!B933</f>
        <v/>
      </c>
      <c r="D821" s="41" t="str">
        <f>catalog!E933</f>
        <v/>
      </c>
      <c r="AB821" s="32">
        <f t="shared" si="9"/>
        <v>0</v>
      </c>
    </row>
    <row r="822">
      <c r="B822" s="32" t="str">
        <f>catalog!B934</f>
        <v/>
      </c>
      <c r="D822" s="41" t="str">
        <f>catalog!E934</f>
        <v/>
      </c>
      <c r="AB822" s="32">
        <f t="shared" si="9"/>
        <v>0</v>
      </c>
    </row>
    <row r="823">
      <c r="B823" s="32" t="str">
        <f>catalog!B935</f>
        <v/>
      </c>
      <c r="D823" s="41" t="str">
        <f>catalog!E935</f>
        <v/>
      </c>
      <c r="AB823" s="32">
        <f t="shared" si="9"/>
        <v>0</v>
      </c>
    </row>
    <row r="824">
      <c r="B824" s="32" t="str">
        <f>catalog!B936</f>
        <v/>
      </c>
      <c r="D824" s="41" t="str">
        <f>catalog!E936</f>
        <v/>
      </c>
      <c r="AB824" s="32">
        <f t="shared" si="9"/>
        <v>0</v>
      </c>
    </row>
    <row r="825">
      <c r="B825" s="32" t="str">
        <f>catalog!B937</f>
        <v/>
      </c>
      <c r="D825" s="41" t="str">
        <f>catalog!E937</f>
        <v/>
      </c>
      <c r="AB825" s="32">
        <f t="shared" si="9"/>
        <v>0</v>
      </c>
    </row>
    <row r="826">
      <c r="B826" s="32" t="str">
        <f>catalog!B938</f>
        <v/>
      </c>
      <c r="D826" s="41" t="str">
        <f>catalog!E938</f>
        <v/>
      </c>
      <c r="AB826" s="32">
        <f t="shared" si="9"/>
        <v>0</v>
      </c>
    </row>
    <row r="827">
      <c r="B827" s="32" t="str">
        <f>catalog!B939</f>
        <v/>
      </c>
      <c r="D827" s="41" t="str">
        <f>catalog!E939</f>
        <v/>
      </c>
      <c r="AB827" s="32">
        <f t="shared" si="9"/>
        <v>0</v>
      </c>
    </row>
    <row r="828">
      <c r="B828" s="32" t="str">
        <f>catalog!B940</f>
        <v/>
      </c>
      <c r="D828" s="41" t="str">
        <f>catalog!E940</f>
        <v/>
      </c>
      <c r="AB828" s="32">
        <f t="shared" si="9"/>
        <v>0</v>
      </c>
    </row>
    <row r="829">
      <c r="B829" s="32" t="str">
        <f>catalog!B941</f>
        <v/>
      </c>
      <c r="D829" s="41" t="str">
        <f>catalog!E941</f>
        <v/>
      </c>
      <c r="AB829" s="32">
        <f t="shared" si="9"/>
        <v>0</v>
      </c>
    </row>
    <row r="830">
      <c r="B830" s="32" t="str">
        <f>catalog!B942</f>
        <v/>
      </c>
      <c r="D830" s="41" t="str">
        <f>catalog!E942</f>
        <v/>
      </c>
      <c r="AB830" s="32">
        <f t="shared" si="9"/>
        <v>0</v>
      </c>
    </row>
    <row r="831">
      <c r="B831" s="32" t="str">
        <f>catalog!B943</f>
        <v/>
      </c>
      <c r="D831" s="41" t="str">
        <f>catalog!E943</f>
        <v/>
      </c>
      <c r="AB831" s="32">
        <f t="shared" si="9"/>
        <v>0</v>
      </c>
    </row>
    <row r="832">
      <c r="B832" s="32" t="str">
        <f>catalog!B944</f>
        <v/>
      </c>
      <c r="D832" s="41" t="str">
        <f>catalog!E944</f>
        <v/>
      </c>
      <c r="AB832" s="32">
        <f t="shared" si="9"/>
        <v>0</v>
      </c>
    </row>
    <row r="833">
      <c r="B833" s="32" t="str">
        <f>catalog!B945</f>
        <v/>
      </c>
      <c r="D833" s="41" t="str">
        <f>catalog!E945</f>
        <v/>
      </c>
      <c r="AB833" s="32">
        <f t="shared" si="9"/>
        <v>0</v>
      </c>
    </row>
    <row r="834">
      <c r="B834" s="32" t="str">
        <f>catalog!B946</f>
        <v/>
      </c>
      <c r="D834" s="41" t="str">
        <f>catalog!E946</f>
        <v/>
      </c>
      <c r="AB834" s="32">
        <f t="shared" si="9"/>
        <v>0</v>
      </c>
    </row>
    <row r="835">
      <c r="B835" s="32" t="str">
        <f>catalog!B947</f>
        <v/>
      </c>
      <c r="D835" s="41" t="str">
        <f>catalog!E947</f>
        <v/>
      </c>
      <c r="AB835" s="32">
        <f t="shared" si="9"/>
        <v>0</v>
      </c>
    </row>
    <row r="836">
      <c r="B836" s="32" t="str">
        <f>catalog!B948</f>
        <v/>
      </c>
      <c r="D836" s="41" t="str">
        <f>catalog!E948</f>
        <v/>
      </c>
      <c r="AB836" s="32">
        <f t="shared" si="9"/>
        <v>0</v>
      </c>
    </row>
    <row r="837">
      <c r="B837" s="32" t="str">
        <f>catalog!B949</f>
        <v/>
      </c>
      <c r="D837" s="41" t="str">
        <f>catalog!E949</f>
        <v/>
      </c>
      <c r="AB837" s="32">
        <f t="shared" si="9"/>
        <v>0</v>
      </c>
    </row>
    <row r="838">
      <c r="B838" s="32" t="str">
        <f>catalog!B950</f>
        <v/>
      </c>
      <c r="D838" s="41" t="str">
        <f>catalog!E950</f>
        <v/>
      </c>
      <c r="AB838" s="32">
        <f t="shared" si="9"/>
        <v>0</v>
      </c>
    </row>
    <row r="839">
      <c r="B839" s="32" t="str">
        <f>catalog!B951</f>
        <v/>
      </c>
      <c r="D839" s="41" t="str">
        <f>catalog!E951</f>
        <v/>
      </c>
      <c r="AB839" s="32">
        <f t="shared" si="9"/>
        <v>0</v>
      </c>
    </row>
    <row r="840">
      <c r="B840" s="32" t="str">
        <f>catalog!B952</f>
        <v/>
      </c>
      <c r="D840" s="41" t="str">
        <f>catalog!E952</f>
        <v/>
      </c>
      <c r="AB840" s="32">
        <f t="shared" si="9"/>
        <v>0</v>
      </c>
    </row>
    <row r="841">
      <c r="B841" s="32" t="str">
        <f>catalog!B953</f>
        <v/>
      </c>
      <c r="D841" s="41" t="str">
        <f>catalog!E953</f>
        <v/>
      </c>
      <c r="AB841" s="32">
        <f t="shared" si="9"/>
        <v>0</v>
      </c>
    </row>
    <row r="842">
      <c r="B842" s="32" t="str">
        <f>catalog!B954</f>
        <v/>
      </c>
      <c r="D842" s="41" t="str">
        <f>catalog!E954</f>
        <v/>
      </c>
      <c r="AB842" s="32">
        <f t="shared" si="9"/>
        <v>0</v>
      </c>
    </row>
    <row r="843">
      <c r="B843" s="32" t="str">
        <f>catalog!B955</f>
        <v/>
      </c>
      <c r="D843" s="41" t="str">
        <f>catalog!E955</f>
        <v/>
      </c>
      <c r="AB843" s="32">
        <f t="shared" si="9"/>
        <v>0</v>
      </c>
    </row>
    <row r="844">
      <c r="B844" s="32" t="str">
        <f>catalog!B956</f>
        <v/>
      </c>
      <c r="D844" s="41" t="str">
        <f>catalog!E956</f>
        <v/>
      </c>
      <c r="AB844" s="32">
        <f t="shared" si="9"/>
        <v>0</v>
      </c>
    </row>
    <row r="845">
      <c r="B845" s="32" t="str">
        <f>catalog!B957</f>
        <v/>
      </c>
      <c r="D845" s="41" t="str">
        <f>catalog!E957</f>
        <v/>
      </c>
      <c r="AB845" s="32">
        <f t="shared" si="9"/>
        <v>0</v>
      </c>
    </row>
    <row r="846">
      <c r="B846" s="32" t="str">
        <f>catalog!B958</f>
        <v/>
      </c>
      <c r="D846" s="41" t="str">
        <f>catalog!E958</f>
        <v/>
      </c>
      <c r="AB846" s="32">
        <f t="shared" si="9"/>
        <v>0</v>
      </c>
    </row>
    <row r="847">
      <c r="B847" s="32" t="str">
        <f>catalog!B959</f>
        <v/>
      </c>
      <c r="D847" s="41" t="str">
        <f>catalog!E959</f>
        <v/>
      </c>
      <c r="AB847" s="32">
        <f t="shared" si="9"/>
        <v>0</v>
      </c>
    </row>
    <row r="848">
      <c r="B848" s="32" t="str">
        <f>catalog!B960</f>
        <v/>
      </c>
      <c r="D848" s="41" t="str">
        <f>catalog!E960</f>
        <v/>
      </c>
      <c r="AB848" s="32">
        <f t="shared" si="9"/>
        <v>0</v>
      </c>
    </row>
    <row r="849">
      <c r="B849" s="32" t="str">
        <f>catalog!B961</f>
        <v/>
      </c>
      <c r="D849" s="41" t="str">
        <f>catalog!E961</f>
        <v/>
      </c>
      <c r="AB849" s="32">
        <f t="shared" si="9"/>
        <v>0</v>
      </c>
    </row>
    <row r="850">
      <c r="B850" s="32" t="str">
        <f>catalog!B962</f>
        <v/>
      </c>
      <c r="D850" s="41" t="str">
        <f>catalog!E962</f>
        <v/>
      </c>
      <c r="AB850" s="32">
        <f t="shared" si="9"/>
        <v>0</v>
      </c>
    </row>
    <row r="851">
      <c r="B851" s="32" t="str">
        <f>catalog!B963</f>
        <v/>
      </c>
      <c r="D851" s="41" t="str">
        <f>catalog!E963</f>
        <v/>
      </c>
      <c r="AB851" s="32">
        <f t="shared" si="9"/>
        <v>0</v>
      </c>
    </row>
    <row r="852">
      <c r="B852" s="32" t="str">
        <f>catalog!B964</f>
        <v/>
      </c>
      <c r="D852" s="41" t="str">
        <f>catalog!E964</f>
        <v/>
      </c>
      <c r="AB852" s="32">
        <f t="shared" si="9"/>
        <v>0</v>
      </c>
    </row>
    <row r="853">
      <c r="B853" s="32" t="str">
        <f>catalog!B965</f>
        <v/>
      </c>
      <c r="D853" s="41" t="str">
        <f>catalog!E965</f>
        <v/>
      </c>
      <c r="AB853" s="32">
        <f t="shared" si="9"/>
        <v>0</v>
      </c>
    </row>
    <row r="854">
      <c r="B854" s="32" t="str">
        <f>catalog!B966</f>
        <v/>
      </c>
      <c r="D854" s="41" t="str">
        <f>catalog!E966</f>
        <v/>
      </c>
      <c r="AB854" s="32">
        <f t="shared" si="9"/>
        <v>0</v>
      </c>
    </row>
    <row r="855">
      <c r="B855" s="32" t="str">
        <f>catalog!B967</f>
        <v/>
      </c>
      <c r="D855" s="41" t="str">
        <f>catalog!E967</f>
        <v/>
      </c>
      <c r="AB855" s="32">
        <f t="shared" si="9"/>
        <v>0</v>
      </c>
    </row>
    <row r="856">
      <c r="B856" s="32" t="str">
        <f>catalog!B968</f>
        <v/>
      </c>
      <c r="D856" s="41" t="str">
        <f>catalog!E968</f>
        <v/>
      </c>
      <c r="AB856" s="32">
        <f t="shared" si="9"/>
        <v>0</v>
      </c>
    </row>
    <row r="857">
      <c r="B857" s="32" t="str">
        <f>catalog!B969</f>
        <v/>
      </c>
      <c r="D857" s="41" t="str">
        <f>catalog!E969</f>
        <v/>
      </c>
      <c r="AB857" s="32">
        <f t="shared" si="9"/>
        <v>0</v>
      </c>
    </row>
    <row r="858">
      <c r="B858" s="32" t="str">
        <f>catalog!B970</f>
        <v/>
      </c>
      <c r="D858" s="41" t="str">
        <f>catalog!E970</f>
        <v/>
      </c>
      <c r="AB858" s="32">
        <f t="shared" si="9"/>
        <v>0</v>
      </c>
    </row>
    <row r="859">
      <c r="B859" s="32" t="str">
        <f>catalog!B971</f>
        <v/>
      </c>
      <c r="D859" s="41" t="str">
        <f>catalog!E971</f>
        <v/>
      </c>
      <c r="AB859" s="32">
        <f t="shared" si="9"/>
        <v>0</v>
      </c>
    </row>
    <row r="860">
      <c r="B860" s="32" t="str">
        <f>catalog!B972</f>
        <v/>
      </c>
      <c r="D860" s="41" t="str">
        <f>catalog!E972</f>
        <v/>
      </c>
      <c r="AB860" s="32">
        <f t="shared" si="9"/>
        <v>0</v>
      </c>
    </row>
    <row r="861">
      <c r="B861" s="32" t="str">
        <f>catalog!B973</f>
        <v/>
      </c>
      <c r="D861" s="41" t="str">
        <f>catalog!E973</f>
        <v/>
      </c>
      <c r="AB861" s="32">
        <f t="shared" si="9"/>
        <v>0</v>
      </c>
    </row>
    <row r="862">
      <c r="B862" s="32" t="str">
        <f>catalog!B974</f>
        <v/>
      </c>
      <c r="D862" s="41" t="str">
        <f>catalog!E974</f>
        <v/>
      </c>
      <c r="AB862" s="32">
        <f t="shared" si="9"/>
        <v>0</v>
      </c>
    </row>
    <row r="863">
      <c r="B863" s="32" t="str">
        <f>catalog!B975</f>
        <v/>
      </c>
      <c r="D863" s="41" t="str">
        <f>catalog!E975</f>
        <v/>
      </c>
      <c r="AB863" s="32">
        <f t="shared" si="9"/>
        <v>0</v>
      </c>
    </row>
    <row r="864">
      <c r="B864" s="32" t="str">
        <f>catalog!B976</f>
        <v/>
      </c>
      <c r="D864" s="41" t="str">
        <f>catalog!E976</f>
        <v/>
      </c>
      <c r="AB864" s="32">
        <f t="shared" si="9"/>
        <v>0</v>
      </c>
    </row>
    <row r="865">
      <c r="B865" s="32" t="str">
        <f>catalog!B977</f>
        <v/>
      </c>
      <c r="D865" s="41" t="str">
        <f>catalog!E977</f>
        <v/>
      </c>
      <c r="AB865" s="32">
        <f t="shared" si="9"/>
        <v>0</v>
      </c>
    </row>
    <row r="866">
      <c r="B866" s="32" t="str">
        <f>catalog!B978</f>
        <v/>
      </c>
      <c r="D866" s="41" t="str">
        <f>catalog!E978</f>
        <v/>
      </c>
      <c r="AB866" s="32">
        <f t="shared" si="9"/>
        <v>0</v>
      </c>
    </row>
    <row r="867">
      <c r="B867" s="32" t="str">
        <f>catalog!B979</f>
        <v/>
      </c>
      <c r="D867" s="41" t="str">
        <f>catalog!E979</f>
        <v/>
      </c>
      <c r="AB867" s="32">
        <f t="shared" si="9"/>
        <v>0</v>
      </c>
    </row>
    <row r="868">
      <c r="B868" s="32" t="str">
        <f>catalog!B980</f>
        <v/>
      </c>
      <c r="D868" s="41" t="str">
        <f>catalog!E980</f>
        <v/>
      </c>
      <c r="AB868" s="32">
        <f t="shared" si="9"/>
        <v>0</v>
      </c>
    </row>
    <row r="869">
      <c r="B869" s="32" t="str">
        <f>catalog!B981</f>
        <v/>
      </c>
      <c r="D869" s="41" t="str">
        <f>catalog!E981</f>
        <v/>
      </c>
      <c r="AB869" s="32">
        <f t="shared" si="9"/>
        <v>0</v>
      </c>
    </row>
    <row r="870">
      <c r="B870" s="32" t="str">
        <f>catalog!B982</f>
        <v/>
      </c>
      <c r="D870" s="41" t="str">
        <f>catalog!E982</f>
        <v/>
      </c>
      <c r="AB870" s="32">
        <f t="shared" si="9"/>
        <v>0</v>
      </c>
    </row>
    <row r="871">
      <c r="B871" s="32" t="str">
        <f>catalog!B983</f>
        <v/>
      </c>
      <c r="D871" s="41" t="str">
        <f>catalog!E983</f>
        <v/>
      </c>
      <c r="AB871" s="32">
        <f t="shared" si="9"/>
        <v>0</v>
      </c>
    </row>
    <row r="872">
      <c r="B872" s="32" t="str">
        <f>catalog!B984</f>
        <v/>
      </c>
      <c r="D872" s="41" t="str">
        <f>catalog!E984</f>
        <v/>
      </c>
      <c r="AB872" s="32">
        <f t="shared" si="9"/>
        <v>0</v>
      </c>
    </row>
    <row r="873">
      <c r="B873" s="32" t="str">
        <f>catalog!B985</f>
        <v/>
      </c>
      <c r="D873" s="41" t="str">
        <f>catalog!E985</f>
        <v/>
      </c>
      <c r="AB873" s="32">
        <f t="shared" si="9"/>
        <v>0</v>
      </c>
    </row>
    <row r="874">
      <c r="B874" s="32" t="str">
        <f>catalog!B986</f>
        <v/>
      </c>
      <c r="D874" s="41" t="str">
        <f>catalog!E986</f>
        <v/>
      </c>
      <c r="AB874" s="32">
        <f t="shared" si="9"/>
        <v>0</v>
      </c>
    </row>
    <row r="875">
      <c r="B875" s="32" t="str">
        <f>catalog!B987</f>
        <v/>
      </c>
      <c r="D875" s="41" t="str">
        <f>catalog!E987</f>
        <v/>
      </c>
      <c r="AB875" s="32">
        <f t="shared" si="9"/>
        <v>0</v>
      </c>
    </row>
    <row r="876">
      <c r="B876" s="32" t="str">
        <f>catalog!B988</f>
        <v/>
      </c>
      <c r="D876" s="41" t="str">
        <f>catalog!E988</f>
        <v/>
      </c>
      <c r="AB876" s="32">
        <f t="shared" si="9"/>
        <v>0</v>
      </c>
    </row>
    <row r="877">
      <c r="B877" s="32" t="str">
        <f>catalog!B989</f>
        <v/>
      </c>
      <c r="D877" s="41" t="str">
        <f>catalog!E989</f>
        <v/>
      </c>
      <c r="AB877" s="32">
        <f t="shared" si="9"/>
        <v>0</v>
      </c>
    </row>
    <row r="878">
      <c r="B878" s="32" t="str">
        <f>catalog!B990</f>
        <v/>
      </c>
      <c r="D878" s="41" t="str">
        <f>catalog!E990</f>
        <v/>
      </c>
      <c r="AB878" s="32">
        <f t="shared" si="9"/>
        <v>0</v>
      </c>
    </row>
    <row r="879">
      <c r="B879" s="32" t="str">
        <f>catalog!B991</f>
        <v/>
      </c>
      <c r="D879" s="41" t="str">
        <f>catalog!E991</f>
        <v/>
      </c>
      <c r="AB879" s="32">
        <f t="shared" si="9"/>
        <v>0</v>
      </c>
    </row>
    <row r="880">
      <c r="B880" s="32" t="str">
        <f>catalog!B992</f>
        <v/>
      </c>
      <c r="D880" s="41" t="str">
        <f>catalog!E992</f>
        <v/>
      </c>
      <c r="AB880" s="32">
        <f t="shared" si="9"/>
        <v>0</v>
      </c>
    </row>
    <row r="881">
      <c r="B881" s="32" t="str">
        <f>catalog!B993</f>
        <v/>
      </c>
      <c r="D881" s="41" t="str">
        <f>catalog!E993</f>
        <v/>
      </c>
      <c r="AB881" s="32">
        <f t="shared" si="9"/>
        <v>0</v>
      </c>
    </row>
    <row r="882">
      <c r="B882" s="32" t="str">
        <f>catalog!B994</f>
        <v/>
      </c>
      <c r="D882" s="41" t="str">
        <f>catalog!E994</f>
        <v/>
      </c>
      <c r="AB882" s="32">
        <f t="shared" si="9"/>
        <v>0</v>
      </c>
    </row>
    <row r="883">
      <c r="B883" s="32" t="str">
        <f>catalog!B995</f>
        <v/>
      </c>
      <c r="D883" s="41" t="str">
        <f>catalog!E995</f>
        <v/>
      </c>
      <c r="AB883" s="32">
        <f t="shared" si="9"/>
        <v>0</v>
      </c>
    </row>
    <row r="884">
      <c r="B884" s="32" t="str">
        <f>catalog!B996</f>
        <v/>
      </c>
      <c r="D884" s="41" t="str">
        <f>catalog!E996</f>
        <v/>
      </c>
      <c r="AB884" s="32">
        <f t="shared" si="9"/>
        <v>0</v>
      </c>
    </row>
    <row r="885">
      <c r="B885" s="32" t="str">
        <f>catalog!B997</f>
        <v/>
      </c>
      <c r="D885" s="41" t="str">
        <f>catalog!E997</f>
        <v/>
      </c>
      <c r="AB885" s="32">
        <f t="shared" si="9"/>
        <v>0</v>
      </c>
    </row>
    <row r="886">
      <c r="B886" s="32" t="str">
        <f>catalog!B998</f>
        <v/>
      </c>
      <c r="D886" s="41" t="str">
        <f>catalog!E998</f>
        <v/>
      </c>
      <c r="AB886" s="32">
        <f t="shared" si="9"/>
        <v>0</v>
      </c>
    </row>
    <row r="887">
      <c r="B887" s="32" t="str">
        <f>catalog!B999</f>
        <v/>
      </c>
      <c r="D887" s="41" t="str">
        <f>catalog!E999</f>
        <v/>
      </c>
      <c r="AB887" s="32">
        <f t="shared" si="9"/>
        <v>0</v>
      </c>
    </row>
    <row r="888">
      <c r="B888" s="32" t="str">
        <f>catalog!B1000</f>
        <v/>
      </c>
      <c r="D888" s="41" t="str">
        <f>catalog!E1000</f>
        <v/>
      </c>
      <c r="AB888" s="32">
        <f t="shared" si="9"/>
        <v>0</v>
      </c>
    </row>
    <row r="889">
      <c r="B889" s="32" t="str">
        <f>catalog!B1001</f>
        <v/>
      </c>
      <c r="D889" s="41" t="str">
        <f>catalog!E1001</f>
        <v/>
      </c>
      <c r="AB889" s="32">
        <f t="shared" si="9"/>
        <v>0</v>
      </c>
    </row>
    <row r="890">
      <c r="B890" s="32" t="str">
        <f>catalog!B1002</f>
        <v/>
      </c>
      <c r="D890" s="41" t="str">
        <f>catalog!E1002</f>
        <v/>
      </c>
      <c r="AB890" s="32">
        <f t="shared" si="9"/>
        <v>0</v>
      </c>
    </row>
    <row r="891">
      <c r="B891" s="32" t="str">
        <f>catalog!B1003</f>
        <v/>
      </c>
      <c r="D891" s="41" t="str">
        <f>catalog!E1003</f>
        <v/>
      </c>
      <c r="AB891" s="32">
        <f t="shared" si="9"/>
        <v>0</v>
      </c>
    </row>
    <row r="892">
      <c r="B892" s="32" t="str">
        <f>catalog!B1004</f>
        <v/>
      </c>
      <c r="D892" s="41" t="str">
        <f>catalog!E1004</f>
        <v/>
      </c>
      <c r="AB892" s="32">
        <f t="shared" si="9"/>
        <v>0</v>
      </c>
    </row>
    <row r="893">
      <c r="B893" s="32" t="str">
        <f>catalog!B1005</f>
        <v/>
      </c>
      <c r="D893" s="41" t="str">
        <f>catalog!E1005</f>
        <v/>
      </c>
      <c r="AB893" s="32">
        <f t="shared" si="9"/>
        <v>0</v>
      </c>
    </row>
    <row r="894">
      <c r="B894" s="32" t="str">
        <f>catalog!B1006</f>
        <v/>
      </c>
      <c r="D894" s="41" t="str">
        <f>catalog!E1006</f>
        <v/>
      </c>
      <c r="AB894" s="32">
        <f t="shared" si="9"/>
        <v>0</v>
      </c>
    </row>
    <row r="895">
      <c r="B895" s="32" t="str">
        <f>catalog!B1007</f>
        <v/>
      </c>
      <c r="D895" s="41" t="str">
        <f>catalog!E1007</f>
        <v/>
      </c>
      <c r="AB895" s="32">
        <f t="shared" si="9"/>
        <v>0</v>
      </c>
    </row>
    <row r="896">
      <c r="B896" s="32" t="str">
        <f>catalog!B1008</f>
        <v/>
      </c>
      <c r="D896" s="41" t="str">
        <f>catalog!E1008</f>
        <v/>
      </c>
      <c r="AB896" s="32">
        <f t="shared" si="9"/>
        <v>0</v>
      </c>
    </row>
    <row r="897">
      <c r="B897" s="32" t="str">
        <f>catalog!B1009</f>
        <v/>
      </c>
      <c r="D897" s="41" t="str">
        <f>catalog!E1009</f>
        <v/>
      </c>
      <c r="AB897" s="32">
        <f t="shared" si="9"/>
        <v>0</v>
      </c>
    </row>
    <row r="898">
      <c r="B898" s="32" t="str">
        <f>catalog!B1010</f>
        <v/>
      </c>
      <c r="D898" s="41" t="str">
        <f>catalog!E1010</f>
        <v/>
      </c>
      <c r="AB898" s="32">
        <f t="shared" si="9"/>
        <v>0</v>
      </c>
    </row>
    <row r="899">
      <c r="B899" s="32" t="str">
        <f>catalog!B1011</f>
        <v/>
      </c>
      <c r="D899" s="41" t="str">
        <f>catalog!E1011</f>
        <v/>
      </c>
      <c r="AB899" s="32">
        <f t="shared" si="9"/>
        <v>0</v>
      </c>
    </row>
    <row r="900">
      <c r="B900" s="32" t="str">
        <f>catalog!B1012</f>
        <v/>
      </c>
      <c r="D900" s="41" t="str">
        <f>catalog!E1012</f>
        <v/>
      </c>
      <c r="AB900" s="32">
        <f t="shared" si="9"/>
        <v>0</v>
      </c>
    </row>
    <row r="901">
      <c r="B901" s="32" t="str">
        <f>catalog!B1013</f>
        <v/>
      </c>
      <c r="D901" s="41" t="str">
        <f>catalog!E1013</f>
        <v/>
      </c>
      <c r="AB901" s="32">
        <f t="shared" si="9"/>
        <v>0</v>
      </c>
    </row>
    <row r="902">
      <c r="B902" s="32" t="str">
        <f>catalog!B1014</f>
        <v/>
      </c>
      <c r="D902" s="41" t="str">
        <f>catalog!E1014</f>
        <v/>
      </c>
      <c r="AB902" s="32">
        <f t="shared" si="9"/>
        <v>0</v>
      </c>
    </row>
    <row r="903">
      <c r="B903" s="32" t="str">
        <f>catalog!B1015</f>
        <v/>
      </c>
      <c r="D903" s="41" t="str">
        <f>catalog!E1015</f>
        <v/>
      </c>
      <c r="AB903" s="32">
        <f t="shared" si="9"/>
        <v>0</v>
      </c>
    </row>
    <row r="904">
      <c r="B904" s="32" t="str">
        <f>catalog!B1016</f>
        <v/>
      </c>
      <c r="D904" s="41" t="str">
        <f>catalog!E1016</f>
        <v/>
      </c>
      <c r="AB904" s="32">
        <f t="shared" si="9"/>
        <v>0</v>
      </c>
    </row>
    <row r="905">
      <c r="B905" s="32" t="str">
        <f>catalog!B1017</f>
        <v/>
      </c>
      <c r="D905" s="41" t="str">
        <f>catalog!E1017</f>
        <v/>
      </c>
      <c r="AB905" s="32">
        <f t="shared" si="9"/>
        <v>0</v>
      </c>
    </row>
    <row r="906">
      <c r="B906" s="32" t="str">
        <f>catalog!B1018</f>
        <v/>
      </c>
      <c r="D906" s="41" t="str">
        <f>catalog!E1018</f>
        <v/>
      </c>
      <c r="AB906" s="32">
        <f t="shared" si="9"/>
        <v>0</v>
      </c>
    </row>
    <row r="907">
      <c r="B907" s="32" t="str">
        <f>catalog!B1019</f>
        <v/>
      </c>
      <c r="D907" s="41" t="str">
        <f>catalog!E1019</f>
        <v/>
      </c>
      <c r="AB907" s="32">
        <f t="shared" si="9"/>
        <v>0</v>
      </c>
    </row>
    <row r="908">
      <c r="B908" s="32" t="str">
        <f>catalog!B1020</f>
        <v/>
      </c>
      <c r="D908" s="41" t="str">
        <f>catalog!E1020</f>
        <v/>
      </c>
      <c r="AB908" s="32">
        <f t="shared" si="9"/>
        <v>0</v>
      </c>
    </row>
    <row r="909">
      <c r="B909" s="32" t="str">
        <f>catalog!B1021</f>
        <v/>
      </c>
      <c r="D909" s="41" t="str">
        <f>catalog!E1021</f>
        <v/>
      </c>
      <c r="AB909" s="32">
        <f t="shared" si="9"/>
        <v>0</v>
      </c>
    </row>
    <row r="910">
      <c r="B910" s="32" t="str">
        <f>catalog!B1022</f>
        <v/>
      </c>
      <c r="D910" s="41" t="str">
        <f>catalog!E1022</f>
        <v/>
      </c>
      <c r="AB910" s="32">
        <f t="shared" si="9"/>
        <v>0</v>
      </c>
    </row>
    <row r="911">
      <c r="B911" s="32" t="str">
        <f>catalog!B1023</f>
        <v/>
      </c>
      <c r="D911" s="41" t="str">
        <f>catalog!E1023</f>
        <v/>
      </c>
      <c r="AB911" s="32">
        <f t="shared" si="9"/>
        <v>0</v>
      </c>
    </row>
    <row r="912">
      <c r="B912" s="32" t="str">
        <f>catalog!B1024</f>
        <v/>
      </c>
      <c r="D912" s="41" t="str">
        <f>catalog!E1024</f>
        <v/>
      </c>
      <c r="AB912" s="32">
        <f t="shared" si="9"/>
        <v>0</v>
      </c>
    </row>
    <row r="913">
      <c r="B913" s="32" t="str">
        <f>catalog!B1025</f>
        <v/>
      </c>
      <c r="D913" s="41" t="str">
        <f>catalog!E1025</f>
        <v/>
      </c>
      <c r="AB913" s="32">
        <f t="shared" si="9"/>
        <v>0</v>
      </c>
    </row>
    <row r="914">
      <c r="B914" s="32" t="str">
        <f>catalog!B1026</f>
        <v/>
      </c>
      <c r="D914" s="41" t="str">
        <f>catalog!E1026</f>
        <v/>
      </c>
      <c r="AB914" s="32">
        <f t="shared" si="9"/>
        <v>0</v>
      </c>
    </row>
    <row r="915">
      <c r="B915" s="32" t="str">
        <f>catalog!B1027</f>
        <v/>
      </c>
      <c r="D915" s="41" t="str">
        <f>catalog!E1027</f>
        <v/>
      </c>
      <c r="AB915" s="32">
        <f t="shared" si="9"/>
        <v>0</v>
      </c>
    </row>
    <row r="916">
      <c r="B916" s="32" t="str">
        <f>catalog!B1028</f>
        <v/>
      </c>
      <c r="D916" s="41" t="str">
        <f>catalog!E1028</f>
        <v/>
      </c>
      <c r="AB916" s="32">
        <f t="shared" si="9"/>
        <v>0</v>
      </c>
    </row>
    <row r="917">
      <c r="B917" s="32" t="str">
        <f>catalog!B1029</f>
        <v/>
      </c>
      <c r="D917" s="41" t="str">
        <f>catalog!E1029</f>
        <v/>
      </c>
      <c r="AB917" s="32">
        <f t="shared" si="9"/>
        <v>0</v>
      </c>
    </row>
    <row r="918">
      <c r="B918" s="32" t="str">
        <f>catalog!B1030</f>
        <v/>
      </c>
      <c r="D918" s="41" t="str">
        <f>catalog!E1030</f>
        <v/>
      </c>
      <c r="AB918" s="32">
        <f t="shared" si="9"/>
        <v>0</v>
      </c>
    </row>
    <row r="919">
      <c r="B919" s="32" t="str">
        <f>catalog!B1031</f>
        <v/>
      </c>
      <c r="D919" s="41" t="str">
        <f>catalog!E1031</f>
        <v/>
      </c>
      <c r="AB919" s="32">
        <f t="shared" si="9"/>
        <v>0</v>
      </c>
    </row>
    <row r="920">
      <c r="B920" s="32" t="str">
        <f>catalog!B1032</f>
        <v/>
      </c>
      <c r="D920" s="41" t="str">
        <f>catalog!E1032</f>
        <v/>
      </c>
      <c r="AB920" s="32">
        <f t="shared" si="9"/>
        <v>0</v>
      </c>
    </row>
    <row r="921">
      <c r="B921" s="32" t="str">
        <f>catalog!B1033</f>
        <v/>
      </c>
      <c r="D921" s="41" t="str">
        <f>catalog!E1033</f>
        <v/>
      </c>
      <c r="AB921" s="32">
        <f t="shared" si="9"/>
        <v>0</v>
      </c>
    </row>
    <row r="922">
      <c r="B922" s="32" t="str">
        <f>catalog!B1034</f>
        <v/>
      </c>
      <c r="D922" s="41" t="str">
        <f>catalog!E1034</f>
        <v/>
      </c>
      <c r="AB922" s="32">
        <f t="shared" si="9"/>
        <v>0</v>
      </c>
    </row>
    <row r="923">
      <c r="B923" s="32" t="str">
        <f>catalog!B1035</f>
        <v/>
      </c>
      <c r="D923" s="41" t="str">
        <f>catalog!E1035</f>
        <v/>
      </c>
      <c r="AB923" s="32">
        <f t="shared" si="9"/>
        <v>0</v>
      </c>
    </row>
    <row r="924">
      <c r="B924" s="32" t="str">
        <f>catalog!B1036</f>
        <v/>
      </c>
      <c r="D924" s="41" t="str">
        <f>catalog!E1036</f>
        <v/>
      </c>
      <c r="AB924" s="32">
        <f t="shared" si="9"/>
        <v>0</v>
      </c>
    </row>
    <row r="925">
      <c r="B925" s="32" t="str">
        <f>catalog!B1037</f>
        <v/>
      </c>
      <c r="D925" s="41" t="str">
        <f>catalog!E1037</f>
        <v/>
      </c>
      <c r="AB925" s="32">
        <f t="shared" si="9"/>
        <v>0</v>
      </c>
    </row>
    <row r="926">
      <c r="B926" s="32" t="str">
        <f>catalog!B1038</f>
        <v/>
      </c>
      <c r="D926" s="41" t="str">
        <f>catalog!E1038</f>
        <v/>
      </c>
      <c r="AB926" s="32">
        <f t="shared" si="9"/>
        <v>0</v>
      </c>
    </row>
    <row r="927">
      <c r="B927" s="32" t="str">
        <f>catalog!B1039</f>
        <v/>
      </c>
      <c r="D927" s="41" t="str">
        <f>catalog!E1039</f>
        <v/>
      </c>
      <c r="AB927" s="32">
        <f t="shared" si="9"/>
        <v>0</v>
      </c>
    </row>
    <row r="928">
      <c r="B928" s="32" t="str">
        <f>catalog!B1040</f>
        <v/>
      </c>
      <c r="D928" s="41" t="str">
        <f>catalog!E1040</f>
        <v/>
      </c>
      <c r="AB928" s="32">
        <f t="shared" si="9"/>
        <v>0</v>
      </c>
    </row>
    <row r="929">
      <c r="B929" s="32" t="str">
        <f>catalog!B1041</f>
        <v/>
      </c>
      <c r="D929" s="41" t="str">
        <f>catalog!E1041</f>
        <v/>
      </c>
      <c r="AB929" s="32">
        <f t="shared" si="9"/>
        <v>0</v>
      </c>
    </row>
    <row r="930">
      <c r="B930" s="32" t="str">
        <f>catalog!B1042</f>
        <v/>
      </c>
      <c r="D930" s="41" t="str">
        <f>catalog!E1042</f>
        <v/>
      </c>
      <c r="AB930" s="32">
        <f t="shared" si="9"/>
        <v>0</v>
      </c>
    </row>
    <row r="931">
      <c r="B931" s="32" t="str">
        <f>catalog!B1043</f>
        <v/>
      </c>
      <c r="D931" s="41" t="str">
        <f>catalog!E1043</f>
        <v/>
      </c>
      <c r="AB931" s="32">
        <f t="shared" si="9"/>
        <v>0</v>
      </c>
    </row>
    <row r="932">
      <c r="B932" s="32" t="str">
        <f>catalog!B1044</f>
        <v/>
      </c>
      <c r="D932" s="41" t="str">
        <f>catalog!E1044</f>
        <v/>
      </c>
      <c r="AB932" s="32">
        <f t="shared" si="9"/>
        <v>0</v>
      </c>
    </row>
    <row r="933">
      <c r="B933" s="32" t="str">
        <f>catalog!B1045</f>
        <v/>
      </c>
      <c r="D933" s="41" t="str">
        <f>catalog!E1045</f>
        <v/>
      </c>
      <c r="AB933" s="32">
        <f t="shared" si="9"/>
        <v>0</v>
      </c>
    </row>
    <row r="934">
      <c r="B934" s="32" t="str">
        <f>catalog!B1046</f>
        <v/>
      </c>
      <c r="D934" s="41" t="str">
        <f>catalog!E1046</f>
        <v/>
      </c>
      <c r="AB934" s="32">
        <f t="shared" si="9"/>
        <v>0</v>
      </c>
    </row>
    <row r="935">
      <c r="B935" s="32" t="str">
        <f>catalog!B1047</f>
        <v/>
      </c>
      <c r="D935" s="41" t="str">
        <f>catalog!E1047</f>
        <v/>
      </c>
      <c r="AB935" s="32">
        <f t="shared" si="9"/>
        <v>0</v>
      </c>
    </row>
    <row r="936">
      <c r="B936" s="32" t="str">
        <f>catalog!B1048</f>
        <v/>
      </c>
      <c r="D936" s="41" t="str">
        <f>catalog!E1048</f>
        <v/>
      </c>
      <c r="AB936" s="32">
        <f t="shared" si="9"/>
        <v>0</v>
      </c>
    </row>
    <row r="937">
      <c r="B937" s="32" t="str">
        <f>catalog!B1049</f>
        <v/>
      </c>
      <c r="D937" s="41" t="str">
        <f>catalog!E1049</f>
        <v/>
      </c>
      <c r="AB937" s="32">
        <f t="shared" si="9"/>
        <v>0</v>
      </c>
    </row>
    <row r="938">
      <c r="B938" s="32" t="str">
        <f>catalog!B1050</f>
        <v/>
      </c>
      <c r="D938" s="41" t="str">
        <f>catalog!E1050</f>
        <v/>
      </c>
      <c r="AB938" s="32">
        <f t="shared" si="9"/>
        <v>0</v>
      </c>
    </row>
    <row r="939">
      <c r="B939" s="32" t="str">
        <f>catalog!B1051</f>
        <v/>
      </c>
      <c r="D939" s="41" t="str">
        <f>catalog!E1051</f>
        <v/>
      </c>
      <c r="AB939" s="32">
        <f t="shared" si="9"/>
        <v>0</v>
      </c>
    </row>
    <row r="940">
      <c r="B940" s="32" t="str">
        <f>catalog!B1052</f>
        <v/>
      </c>
      <c r="D940" s="41" t="str">
        <f>catalog!E1052</f>
        <v/>
      </c>
      <c r="AB940" s="32">
        <f t="shared" si="9"/>
        <v>0</v>
      </c>
    </row>
    <row r="941">
      <c r="B941" s="32" t="str">
        <f>catalog!B1053</f>
        <v/>
      </c>
      <c r="D941" s="41" t="str">
        <f>catalog!E1053</f>
        <v/>
      </c>
      <c r="AB941" s="32">
        <f t="shared" si="9"/>
        <v>0</v>
      </c>
    </row>
    <row r="942">
      <c r="B942" s="32" t="str">
        <f>catalog!B1054</f>
        <v/>
      </c>
      <c r="D942" s="41" t="str">
        <f>catalog!E1054</f>
        <v/>
      </c>
      <c r="AB942" s="32">
        <f t="shared" si="9"/>
        <v>0</v>
      </c>
    </row>
    <row r="943">
      <c r="B943" s="32" t="str">
        <f>catalog!B1055</f>
        <v/>
      </c>
      <c r="D943" s="41" t="str">
        <f>catalog!E1055</f>
        <v/>
      </c>
      <c r="AB943" s="32">
        <f t="shared" si="9"/>
        <v>0</v>
      </c>
    </row>
    <row r="944">
      <c r="B944" s="32" t="str">
        <f>catalog!B1056</f>
        <v/>
      </c>
      <c r="D944" s="41" t="str">
        <f>catalog!E1056</f>
        <v/>
      </c>
      <c r="AB944" s="32">
        <f t="shared" si="9"/>
        <v>0</v>
      </c>
    </row>
    <row r="945">
      <c r="B945" s="32" t="str">
        <f>catalog!B1057</f>
        <v/>
      </c>
      <c r="D945" s="41" t="str">
        <f>catalog!E1057</f>
        <v/>
      </c>
      <c r="AB945" s="32">
        <f t="shared" si="9"/>
        <v>0</v>
      </c>
    </row>
    <row r="946">
      <c r="B946" s="32" t="str">
        <f>catalog!B1058</f>
        <v/>
      </c>
      <c r="D946" s="41" t="str">
        <f>catalog!E1058</f>
        <v/>
      </c>
      <c r="AB946" s="32">
        <f t="shared" si="9"/>
        <v>0</v>
      </c>
    </row>
    <row r="947">
      <c r="B947" s="32" t="str">
        <f>catalog!B1059</f>
        <v/>
      </c>
      <c r="D947" s="41" t="str">
        <f>catalog!E1059</f>
        <v/>
      </c>
      <c r="AB947" s="32">
        <f t="shared" si="9"/>
        <v>0</v>
      </c>
    </row>
    <row r="948">
      <c r="B948" s="32" t="str">
        <f>catalog!B1060</f>
        <v/>
      </c>
      <c r="D948" s="41" t="str">
        <f>catalog!E1060</f>
        <v/>
      </c>
      <c r="AB948" s="32">
        <f t="shared" si="9"/>
        <v>0</v>
      </c>
    </row>
    <row r="949">
      <c r="B949" s="32" t="str">
        <f>catalog!B1061</f>
        <v/>
      </c>
      <c r="D949" s="41" t="str">
        <f>catalog!E1061</f>
        <v/>
      </c>
      <c r="AB949" s="32">
        <f t="shared" si="9"/>
        <v>0</v>
      </c>
    </row>
    <row r="950">
      <c r="B950" s="32" t="str">
        <f>catalog!B1062</f>
        <v/>
      </c>
      <c r="D950" s="41" t="str">
        <f>catalog!E1062</f>
        <v/>
      </c>
      <c r="AB950" s="32">
        <f t="shared" si="9"/>
        <v>0</v>
      </c>
    </row>
    <row r="951">
      <c r="B951" s="32" t="str">
        <f>catalog!B1063</f>
        <v/>
      </c>
      <c r="D951" s="41" t="str">
        <f>catalog!E1063</f>
        <v/>
      </c>
      <c r="AB951" s="32">
        <f t="shared" si="9"/>
        <v>0</v>
      </c>
    </row>
    <row r="952">
      <c r="B952" s="32" t="str">
        <f>catalog!B1064</f>
        <v/>
      </c>
      <c r="D952" s="41" t="str">
        <f>catalog!E1064</f>
        <v/>
      </c>
      <c r="AB952" s="32">
        <f t="shared" si="9"/>
        <v>0</v>
      </c>
    </row>
    <row r="953">
      <c r="B953" s="32" t="str">
        <f>catalog!B1065</f>
        <v/>
      </c>
      <c r="D953" s="41" t="str">
        <f>catalog!E1065</f>
        <v/>
      </c>
      <c r="AB953" s="32">
        <f t="shared" si="9"/>
        <v>0</v>
      </c>
    </row>
    <row r="954">
      <c r="B954" s="32" t="str">
        <f>catalog!B1066</f>
        <v/>
      </c>
      <c r="D954" s="41" t="str">
        <f>catalog!E1066</f>
        <v/>
      </c>
      <c r="AB954" s="32">
        <f t="shared" si="9"/>
        <v>0</v>
      </c>
    </row>
    <row r="955">
      <c r="B955" s="32" t="str">
        <f>catalog!B1067</f>
        <v/>
      </c>
      <c r="D955" s="41" t="str">
        <f>catalog!E1067</f>
        <v/>
      </c>
      <c r="AB955" s="32">
        <f t="shared" si="9"/>
        <v>0</v>
      </c>
    </row>
    <row r="956">
      <c r="B956" s="32" t="str">
        <f>catalog!B1068</f>
        <v/>
      </c>
      <c r="D956" s="41" t="str">
        <f>catalog!E1068</f>
        <v/>
      </c>
      <c r="AB956" s="32">
        <f t="shared" si="9"/>
        <v>0</v>
      </c>
    </row>
    <row r="957">
      <c r="B957" s="32" t="str">
        <f>catalog!B1069</f>
        <v/>
      </c>
      <c r="D957" s="41" t="str">
        <f>catalog!E1069</f>
        <v/>
      </c>
      <c r="AB957" s="32">
        <f t="shared" si="9"/>
        <v>0</v>
      </c>
    </row>
    <row r="958">
      <c r="B958" s="32" t="str">
        <f>catalog!B1070</f>
        <v/>
      </c>
      <c r="D958" s="41" t="str">
        <f>catalog!E1070</f>
        <v/>
      </c>
      <c r="AB958" s="32">
        <f t="shared" si="9"/>
        <v>0</v>
      </c>
    </row>
    <row r="959">
      <c r="B959" s="32" t="str">
        <f>catalog!B1071</f>
        <v/>
      </c>
      <c r="D959" s="41" t="str">
        <f>catalog!E1071</f>
        <v/>
      </c>
      <c r="AB959" s="32">
        <f t="shared" si="9"/>
        <v>0</v>
      </c>
    </row>
    <row r="960">
      <c r="B960" s="32" t="str">
        <f>catalog!B1072</f>
        <v/>
      </c>
      <c r="D960" s="41" t="str">
        <f>catalog!E1072</f>
        <v/>
      </c>
      <c r="AB960" s="32">
        <f t="shared" si="9"/>
        <v>0</v>
      </c>
    </row>
    <row r="961">
      <c r="B961" s="32" t="str">
        <f>catalog!B1073</f>
        <v/>
      </c>
      <c r="D961" s="41" t="str">
        <f>catalog!E1073</f>
        <v/>
      </c>
      <c r="AB961" s="32">
        <f t="shared" si="9"/>
        <v>0</v>
      </c>
    </row>
    <row r="962">
      <c r="B962" s="32" t="str">
        <f>catalog!B1074</f>
        <v/>
      </c>
      <c r="D962" s="41" t="str">
        <f>catalog!E1074</f>
        <v/>
      </c>
      <c r="AB962" s="32">
        <f t="shared" si="9"/>
        <v>0</v>
      </c>
    </row>
    <row r="963">
      <c r="B963" s="32" t="str">
        <f>catalog!B1075</f>
        <v/>
      </c>
      <c r="D963" s="41" t="str">
        <f>catalog!E1075</f>
        <v/>
      </c>
      <c r="AB963" s="32">
        <f t="shared" si="9"/>
        <v>0</v>
      </c>
    </row>
    <row r="964">
      <c r="B964" s="32" t="str">
        <f>catalog!B1076</f>
        <v/>
      </c>
      <c r="D964" s="41" t="str">
        <f>catalog!E1076</f>
        <v/>
      </c>
      <c r="AB964" s="32">
        <f t="shared" si="9"/>
        <v>0</v>
      </c>
    </row>
    <row r="965">
      <c r="B965" s="32" t="str">
        <f>catalog!B1077</f>
        <v/>
      </c>
      <c r="D965" s="41" t="str">
        <f>catalog!E1077</f>
        <v/>
      </c>
      <c r="AB965" s="32">
        <f t="shared" si="9"/>
        <v>0</v>
      </c>
    </row>
    <row r="966">
      <c r="B966" s="32" t="str">
        <f>catalog!B1078</f>
        <v/>
      </c>
      <c r="D966" s="41" t="str">
        <f>catalog!E1078</f>
        <v/>
      </c>
      <c r="AB966" s="32">
        <f t="shared" si="9"/>
        <v>0</v>
      </c>
    </row>
    <row r="967">
      <c r="B967" s="32" t="str">
        <f>catalog!B1079</f>
        <v/>
      </c>
      <c r="D967" s="41" t="str">
        <f>catalog!E1079</f>
        <v/>
      </c>
      <c r="AB967" s="32">
        <f t="shared" si="9"/>
        <v>0</v>
      </c>
    </row>
  </sheetData>
  <autoFilter ref="$A$1:$AA$91"/>
  <dataValidations>
    <dataValidation type="list" allowBlank="1" showErrorMessage="1" sqref="F1:AA1 F94:AA94">
      <formula1>Clientes!$B:$B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2.38"/>
    <col customWidth="1" min="3" max="3" width="26.38"/>
    <col customWidth="1" min="4" max="4" width="37.0"/>
    <col customWidth="1" min="5" max="5" width="8.38"/>
    <col customWidth="1" min="6" max="6" width="15.5"/>
    <col customWidth="1" min="8" max="8" width="29.5"/>
    <col customWidth="1" min="9" max="9" width="18.25"/>
  </cols>
  <sheetData>
    <row r="1">
      <c r="A1" s="42" t="s">
        <v>514</v>
      </c>
      <c r="B1" s="42"/>
      <c r="C1" s="42" t="s">
        <v>515</v>
      </c>
      <c r="D1" s="42" t="s">
        <v>508</v>
      </c>
      <c r="E1" s="42" t="s">
        <v>516</v>
      </c>
      <c r="F1" s="42" t="s">
        <v>517</v>
      </c>
      <c r="G1" s="42" t="s">
        <v>518</v>
      </c>
      <c r="H1" s="43"/>
      <c r="I1" s="42" t="s">
        <v>519</v>
      </c>
    </row>
    <row r="2">
      <c r="A2" s="44">
        <v>45730.0</v>
      </c>
      <c r="B2" s="44"/>
      <c r="C2" s="30" t="s">
        <v>452</v>
      </c>
      <c r="D2" s="30" t="s">
        <v>423</v>
      </c>
      <c r="E2" s="30" t="s">
        <v>426</v>
      </c>
      <c r="F2" s="45">
        <v>17480.0</v>
      </c>
      <c r="G2" s="45">
        <v>17480.0</v>
      </c>
      <c r="H2" s="35"/>
      <c r="I2" s="30" t="s">
        <v>520</v>
      </c>
      <c r="J2" s="13" t="s">
        <v>521</v>
      </c>
    </row>
    <row r="3">
      <c r="A3" s="44">
        <v>45730.0</v>
      </c>
      <c r="B3" s="44"/>
      <c r="C3" s="30" t="s">
        <v>452</v>
      </c>
      <c r="D3" s="30" t="s">
        <v>425</v>
      </c>
      <c r="E3" s="30" t="s">
        <v>426</v>
      </c>
      <c r="F3" s="45">
        <v>6900.0</v>
      </c>
      <c r="G3" s="45">
        <v>6900.0</v>
      </c>
      <c r="H3" s="35"/>
      <c r="I3" s="30" t="s">
        <v>520</v>
      </c>
      <c r="J3" s="13" t="s">
        <v>521</v>
      </c>
    </row>
    <row r="4">
      <c r="A4" s="30" t="s">
        <v>522</v>
      </c>
      <c r="B4" s="30"/>
      <c r="C4" s="30" t="s">
        <v>453</v>
      </c>
      <c r="D4" s="30" t="s">
        <v>427</v>
      </c>
      <c r="E4" s="30" t="s">
        <v>426</v>
      </c>
      <c r="F4" s="45">
        <v>3000.0</v>
      </c>
      <c r="G4" s="45">
        <v>3000.0</v>
      </c>
      <c r="H4" s="35"/>
      <c r="I4" s="30" t="s">
        <v>523</v>
      </c>
      <c r="J4" s="13" t="s">
        <v>521</v>
      </c>
    </row>
    <row r="5">
      <c r="A5" s="30" t="s">
        <v>522</v>
      </c>
      <c r="B5" s="30"/>
      <c r="C5" s="30" t="s">
        <v>453</v>
      </c>
      <c r="D5" s="30" t="s">
        <v>428</v>
      </c>
      <c r="E5" s="30" t="s">
        <v>426</v>
      </c>
      <c r="F5" s="30">
        <v>6500.0</v>
      </c>
      <c r="G5" s="30">
        <v>6500.0</v>
      </c>
      <c r="H5" s="35"/>
      <c r="I5" s="30" t="s">
        <v>524</v>
      </c>
      <c r="J5" s="13" t="s">
        <v>521</v>
      </c>
    </row>
    <row r="6">
      <c r="A6" s="30" t="s">
        <v>525</v>
      </c>
      <c r="B6" s="30"/>
      <c r="C6" s="30" t="s">
        <v>454</v>
      </c>
      <c r="D6" s="30" t="s">
        <v>428</v>
      </c>
      <c r="E6" s="30" t="s">
        <v>426</v>
      </c>
      <c r="F6" s="30">
        <v>6500.0</v>
      </c>
      <c r="G6" s="30">
        <v>6500.0</v>
      </c>
      <c r="H6" s="35"/>
      <c r="I6" s="30" t="s">
        <v>526</v>
      </c>
      <c r="J6" s="13" t="s">
        <v>527</v>
      </c>
    </row>
    <row r="7">
      <c r="A7" s="30" t="s">
        <v>525</v>
      </c>
      <c r="B7" s="30"/>
      <c r="C7" s="30" t="s">
        <v>454</v>
      </c>
      <c r="D7" s="30" t="s">
        <v>430</v>
      </c>
      <c r="E7" s="30" t="s">
        <v>528</v>
      </c>
      <c r="F7" s="30">
        <v>4200.0</v>
      </c>
      <c r="G7" s="30">
        <v>4200.0</v>
      </c>
      <c r="H7" s="30" t="s">
        <v>529</v>
      </c>
      <c r="I7" s="30" t="s">
        <v>526</v>
      </c>
      <c r="J7" s="13" t="s">
        <v>527</v>
      </c>
    </row>
    <row r="8">
      <c r="A8" s="30" t="s">
        <v>525</v>
      </c>
      <c r="B8" s="30"/>
      <c r="C8" s="30" t="s">
        <v>454</v>
      </c>
      <c r="D8" s="30" t="s">
        <v>431</v>
      </c>
      <c r="E8" s="30">
        <v>1.0</v>
      </c>
      <c r="F8" s="30">
        <v>4200.0</v>
      </c>
      <c r="G8" s="30">
        <v>3000.0</v>
      </c>
      <c r="H8" s="35"/>
      <c r="I8" s="30" t="s">
        <v>526</v>
      </c>
      <c r="J8" s="13" t="s">
        <v>527</v>
      </c>
    </row>
    <row r="9">
      <c r="A9" s="30" t="s">
        <v>525</v>
      </c>
      <c r="B9" s="30"/>
      <c r="C9" s="30" t="s">
        <v>454</v>
      </c>
      <c r="D9" s="30" t="s">
        <v>432</v>
      </c>
      <c r="E9" s="30" t="s">
        <v>426</v>
      </c>
      <c r="F9" s="30">
        <v>20600.0</v>
      </c>
      <c r="G9" s="30">
        <v>20600.0</v>
      </c>
      <c r="H9" s="35"/>
      <c r="I9" s="30" t="s">
        <v>526</v>
      </c>
      <c r="J9" s="13" t="s">
        <v>527</v>
      </c>
    </row>
    <row r="10">
      <c r="A10" s="30" t="s">
        <v>525</v>
      </c>
      <c r="B10" s="30"/>
      <c r="C10" s="30" t="s">
        <v>454</v>
      </c>
      <c r="D10" s="30" t="s">
        <v>433</v>
      </c>
      <c r="E10" s="30" t="s">
        <v>426</v>
      </c>
      <c r="F10" s="30">
        <v>3000.0</v>
      </c>
      <c r="G10" s="30">
        <v>3000.0</v>
      </c>
      <c r="H10" s="35"/>
      <c r="I10" s="30" t="s">
        <v>526</v>
      </c>
      <c r="J10" s="13" t="s">
        <v>527</v>
      </c>
    </row>
    <row r="11">
      <c r="A11" s="44">
        <v>45734.0</v>
      </c>
      <c r="B11" s="44"/>
      <c r="C11" s="30" t="s">
        <v>455</v>
      </c>
      <c r="D11" s="30" t="s">
        <v>530</v>
      </c>
      <c r="E11" s="30" t="s">
        <v>426</v>
      </c>
      <c r="F11" s="45">
        <v>18000.0</v>
      </c>
      <c r="G11" s="45">
        <v>18000.0</v>
      </c>
      <c r="H11" s="35"/>
      <c r="I11" s="30" t="s">
        <v>531</v>
      </c>
      <c r="J11" s="13" t="s">
        <v>527</v>
      </c>
    </row>
    <row r="12">
      <c r="A12" s="44">
        <v>45734.0</v>
      </c>
      <c r="B12" s="44"/>
      <c r="C12" s="30" t="s">
        <v>455</v>
      </c>
      <c r="D12" s="30" t="s">
        <v>435</v>
      </c>
      <c r="E12" s="30" t="s">
        <v>426</v>
      </c>
      <c r="F12" s="45">
        <v>33000.0</v>
      </c>
      <c r="G12" s="45">
        <v>33000.0</v>
      </c>
      <c r="H12" s="35"/>
      <c r="I12" s="30" t="s">
        <v>531</v>
      </c>
      <c r="J12" s="13" t="s">
        <v>527</v>
      </c>
    </row>
    <row r="13">
      <c r="A13" s="44">
        <v>45734.0</v>
      </c>
      <c r="B13" s="44"/>
      <c r="C13" s="30" t="s">
        <v>455</v>
      </c>
      <c r="D13" s="30" t="s">
        <v>436</v>
      </c>
      <c r="E13" s="30" t="s">
        <v>426</v>
      </c>
      <c r="F13" s="45">
        <v>4000.0</v>
      </c>
      <c r="G13" s="45">
        <v>4000.0</v>
      </c>
      <c r="H13" s="35"/>
      <c r="I13" s="30" t="s">
        <v>531</v>
      </c>
      <c r="J13" s="13" t="s">
        <v>527</v>
      </c>
    </row>
    <row r="14">
      <c r="A14" s="35"/>
      <c r="B14" s="35"/>
      <c r="C14" s="30" t="s">
        <v>532</v>
      </c>
      <c r="D14" s="30" t="s">
        <v>533</v>
      </c>
      <c r="E14" s="30" t="s">
        <v>426</v>
      </c>
      <c r="F14" s="30">
        <v>3000.0</v>
      </c>
      <c r="G14" s="35"/>
      <c r="H14" s="35"/>
      <c r="I14" s="35"/>
    </row>
    <row r="15">
      <c r="A15" s="35"/>
      <c r="B15" s="35"/>
      <c r="C15" s="30" t="s">
        <v>532</v>
      </c>
      <c r="D15" s="30" t="s">
        <v>435</v>
      </c>
      <c r="E15" s="30" t="s">
        <v>534</v>
      </c>
      <c r="F15" s="30">
        <v>33000.0</v>
      </c>
      <c r="G15" s="35"/>
      <c r="H15" s="35"/>
      <c r="I15" s="35"/>
    </row>
    <row r="16">
      <c r="A16" s="35"/>
      <c r="B16" s="35"/>
      <c r="C16" s="30" t="s">
        <v>532</v>
      </c>
      <c r="D16" s="30" t="s">
        <v>530</v>
      </c>
      <c r="E16" s="30" t="s">
        <v>426</v>
      </c>
      <c r="F16" s="30">
        <v>15500.0</v>
      </c>
      <c r="G16" s="35"/>
      <c r="H16" s="35"/>
      <c r="I16" s="35"/>
    </row>
    <row r="17">
      <c r="A17" s="35"/>
      <c r="B17" s="35"/>
      <c r="C17" s="30" t="s">
        <v>532</v>
      </c>
      <c r="D17" s="30" t="s">
        <v>437</v>
      </c>
      <c r="E17" s="30" t="s">
        <v>426</v>
      </c>
      <c r="F17" s="30">
        <v>6400.0</v>
      </c>
      <c r="G17" s="35"/>
      <c r="H17" s="35"/>
      <c r="I17" s="35"/>
    </row>
    <row r="18">
      <c r="A18" s="35"/>
      <c r="B18" s="35"/>
      <c r="C18" s="30" t="s">
        <v>532</v>
      </c>
      <c r="D18" s="30" t="s">
        <v>438</v>
      </c>
      <c r="E18" s="30" t="s">
        <v>429</v>
      </c>
      <c r="F18" s="30">
        <v>9200.0</v>
      </c>
      <c r="G18" s="35"/>
      <c r="H18" s="35"/>
      <c r="I18" s="35"/>
    </row>
    <row r="19">
      <c r="A19" s="35"/>
      <c r="B19" s="35"/>
      <c r="C19" s="30" t="s">
        <v>532</v>
      </c>
      <c r="D19" s="30" t="s">
        <v>535</v>
      </c>
      <c r="E19" s="30" t="s">
        <v>426</v>
      </c>
      <c r="F19" s="30">
        <v>3400.0</v>
      </c>
      <c r="G19" s="35"/>
      <c r="H19" s="35"/>
      <c r="I19" s="35"/>
    </row>
    <row r="20">
      <c r="A20" s="35"/>
      <c r="B20" s="35"/>
      <c r="C20" s="30" t="s">
        <v>532</v>
      </c>
      <c r="D20" s="30" t="s">
        <v>536</v>
      </c>
      <c r="E20" s="30" t="s">
        <v>426</v>
      </c>
      <c r="F20" s="35"/>
      <c r="G20" s="35"/>
      <c r="H20" s="35"/>
      <c r="I20" s="35"/>
    </row>
    <row r="21">
      <c r="A21" s="35"/>
      <c r="B21" s="35"/>
      <c r="C21" s="30" t="s">
        <v>532</v>
      </c>
      <c r="D21" s="30" t="s">
        <v>439</v>
      </c>
      <c r="E21" s="30" t="s">
        <v>537</v>
      </c>
      <c r="F21" s="30">
        <v>3300.0</v>
      </c>
      <c r="G21" s="35"/>
      <c r="H21" s="35"/>
      <c r="I21" s="35"/>
    </row>
    <row r="22">
      <c r="A22" s="35"/>
      <c r="B22" s="35"/>
      <c r="C22" s="30" t="s">
        <v>532</v>
      </c>
      <c r="D22" s="30" t="s">
        <v>440</v>
      </c>
      <c r="E22" s="30" t="s">
        <v>534</v>
      </c>
      <c r="F22" s="30">
        <v>6600.0</v>
      </c>
      <c r="G22" s="35"/>
      <c r="H22" s="35"/>
      <c r="I22" s="35"/>
    </row>
    <row r="23">
      <c r="A23" s="35"/>
      <c r="B23" s="35"/>
      <c r="C23" s="30" t="s">
        <v>532</v>
      </c>
      <c r="D23" s="30" t="s">
        <v>441</v>
      </c>
      <c r="E23" s="30" t="s">
        <v>538</v>
      </c>
      <c r="F23" s="30">
        <v>1130.0</v>
      </c>
      <c r="G23" s="35"/>
      <c r="H23" s="35"/>
      <c r="I23" s="35"/>
    </row>
    <row r="24">
      <c r="A24" s="35"/>
      <c r="B24" s="35"/>
      <c r="C24" s="30" t="s">
        <v>532</v>
      </c>
      <c r="D24" s="30" t="s">
        <v>442</v>
      </c>
      <c r="E24" s="30" t="s">
        <v>538</v>
      </c>
      <c r="F24" s="30">
        <v>1140.0</v>
      </c>
      <c r="G24" s="35"/>
      <c r="H24" s="35"/>
      <c r="I24" s="35"/>
    </row>
    <row r="25">
      <c r="C25" s="13" t="s">
        <v>456</v>
      </c>
      <c r="D25" s="13" t="s">
        <v>530</v>
      </c>
      <c r="E25" s="13" t="s">
        <v>539</v>
      </c>
      <c r="F25" s="13">
        <v>18000.0</v>
      </c>
      <c r="I25" s="13" t="s">
        <v>521</v>
      </c>
    </row>
    <row r="26">
      <c r="C26" s="13" t="s">
        <v>457</v>
      </c>
      <c r="D26" s="13" t="s">
        <v>540</v>
      </c>
      <c r="E26" s="13" t="s">
        <v>539</v>
      </c>
      <c r="F26" s="13">
        <v>3000.0</v>
      </c>
      <c r="I26" s="13" t="s">
        <v>521</v>
      </c>
    </row>
    <row r="27">
      <c r="D27" s="13" t="s">
        <v>443</v>
      </c>
      <c r="E27" s="13" t="s">
        <v>539</v>
      </c>
      <c r="F27" s="13">
        <v>12500.0</v>
      </c>
    </row>
    <row r="28">
      <c r="D28" s="13" t="s">
        <v>444</v>
      </c>
      <c r="E28" s="13" t="s">
        <v>539</v>
      </c>
      <c r="F28" s="13">
        <v>10500.0</v>
      </c>
    </row>
    <row r="29">
      <c r="D29" s="13" t="s">
        <v>446</v>
      </c>
      <c r="E29" s="13" t="s">
        <v>539</v>
      </c>
      <c r="F29" s="13">
        <v>3000.0</v>
      </c>
    </row>
    <row r="30">
      <c r="D30" s="13" t="s">
        <v>447</v>
      </c>
      <c r="E30" s="13" t="s">
        <v>539</v>
      </c>
      <c r="F30" s="13">
        <v>13200.0</v>
      </c>
    </row>
    <row r="31">
      <c r="C31" s="13" t="s">
        <v>458</v>
      </c>
      <c r="D31" s="13" t="s">
        <v>530</v>
      </c>
      <c r="E31" s="13" t="s">
        <v>528</v>
      </c>
      <c r="F31" s="13">
        <v>36000.0</v>
      </c>
      <c r="I31" s="13" t="s">
        <v>541</v>
      </c>
    </row>
    <row r="32">
      <c r="C32" s="13" t="s">
        <v>459</v>
      </c>
      <c r="D32" s="13" t="s">
        <v>444</v>
      </c>
      <c r="E32" s="13" t="s">
        <v>528</v>
      </c>
      <c r="F32" s="13">
        <v>21000.0</v>
      </c>
      <c r="I32" s="13" t="s">
        <v>521</v>
      </c>
    </row>
    <row r="33">
      <c r="D33" s="13" t="s">
        <v>448</v>
      </c>
      <c r="E33" s="13" t="s">
        <v>539</v>
      </c>
      <c r="F33" s="13">
        <v>19400.0</v>
      </c>
    </row>
    <row r="34">
      <c r="C34" s="13" t="s">
        <v>460</v>
      </c>
      <c r="D34" s="13" t="s">
        <v>444</v>
      </c>
      <c r="E34" s="13" t="s">
        <v>539</v>
      </c>
      <c r="F34" s="13">
        <v>10500.0</v>
      </c>
      <c r="I34" s="13" t="s">
        <v>541</v>
      </c>
    </row>
    <row r="35">
      <c r="A35" s="46"/>
      <c r="B35" s="46"/>
      <c r="C35" s="47" t="s">
        <v>542</v>
      </c>
      <c r="D35" s="47" t="s">
        <v>449</v>
      </c>
      <c r="E35" s="47" t="s">
        <v>539</v>
      </c>
      <c r="F35" s="47">
        <v>17100.0</v>
      </c>
      <c r="G35" s="46"/>
      <c r="H35" s="46"/>
      <c r="I35" s="46"/>
    </row>
    <row r="36">
      <c r="A36" s="48"/>
      <c r="B36" s="48"/>
      <c r="C36" s="48"/>
      <c r="D36" s="48"/>
      <c r="E36" s="48"/>
      <c r="F36" s="49">
        <f>sum(F2:F35)</f>
        <v>374250</v>
      </c>
      <c r="G36" s="48"/>
      <c r="H36" s="48"/>
      <c r="I36" s="48"/>
    </row>
    <row r="38">
      <c r="A38" s="50">
        <v>45743.0</v>
      </c>
      <c r="B38" s="50"/>
      <c r="C38" s="35"/>
      <c r="D38" s="35"/>
      <c r="E38" s="35"/>
      <c r="F38" s="35"/>
      <c r="G38" s="35"/>
      <c r="H38" s="35"/>
    </row>
    <row r="39">
      <c r="A39" s="35"/>
      <c r="B39" s="35"/>
      <c r="C39" s="30" t="s">
        <v>461</v>
      </c>
      <c r="D39" s="30" t="s">
        <v>543</v>
      </c>
      <c r="E39" s="30">
        <v>1.0</v>
      </c>
      <c r="F39" s="51">
        <v>6700.0</v>
      </c>
      <c r="G39" s="35"/>
      <c r="H39" s="30">
        <v>6000.0</v>
      </c>
      <c r="I39" s="13" t="s">
        <v>521</v>
      </c>
    </row>
    <row r="40">
      <c r="A40" s="35"/>
      <c r="B40" s="35"/>
      <c r="C40" s="35"/>
      <c r="D40" s="30" t="s">
        <v>543</v>
      </c>
      <c r="E40" s="30">
        <v>1.0</v>
      </c>
      <c r="F40" s="30">
        <v>6900.0</v>
      </c>
      <c r="G40" s="35"/>
      <c r="H40" s="30">
        <v>6000.0</v>
      </c>
    </row>
    <row r="41">
      <c r="A41" s="35"/>
      <c r="B41" s="35"/>
      <c r="C41" s="35"/>
      <c r="D41" s="30" t="s">
        <v>544</v>
      </c>
      <c r="E41" s="30">
        <v>1.0</v>
      </c>
      <c r="F41" s="30">
        <v>3000.0</v>
      </c>
      <c r="G41" s="35"/>
      <c r="H41" s="30">
        <v>2200.0</v>
      </c>
    </row>
    <row r="42">
      <c r="A42" s="35"/>
      <c r="B42" s="35"/>
      <c r="C42" s="35"/>
      <c r="D42" s="30" t="s">
        <v>545</v>
      </c>
      <c r="E42" s="30">
        <v>1.0</v>
      </c>
      <c r="F42" s="30">
        <v>4200.0</v>
      </c>
      <c r="G42" s="35"/>
      <c r="H42" s="30">
        <v>3600.0</v>
      </c>
    </row>
    <row r="43">
      <c r="A43" s="35"/>
      <c r="B43" s="35"/>
      <c r="C43" s="30" t="s">
        <v>462</v>
      </c>
      <c r="D43" s="30" t="s">
        <v>546</v>
      </c>
      <c r="E43" s="30">
        <v>1.0</v>
      </c>
      <c r="F43" s="30">
        <v>3000.0</v>
      </c>
      <c r="G43" s="35"/>
      <c r="H43" s="30">
        <v>2200.0</v>
      </c>
      <c r="I43" s="13" t="s">
        <v>521</v>
      </c>
    </row>
    <row r="44">
      <c r="A44" s="35"/>
      <c r="B44" s="35"/>
      <c r="C44" s="35"/>
      <c r="D44" s="30" t="s">
        <v>547</v>
      </c>
      <c r="E44" s="30">
        <v>1.0</v>
      </c>
      <c r="F44" s="30">
        <v>3000.0</v>
      </c>
      <c r="G44" s="35"/>
      <c r="H44" s="30">
        <v>2200.0</v>
      </c>
    </row>
    <row r="45">
      <c r="A45" s="35"/>
      <c r="B45" s="35"/>
      <c r="C45" s="35"/>
      <c r="D45" s="30" t="s">
        <v>548</v>
      </c>
      <c r="E45" s="30">
        <v>1.0</v>
      </c>
      <c r="F45" s="30">
        <v>4000.0</v>
      </c>
      <c r="G45" s="35"/>
      <c r="H45" s="30">
        <v>3300.0</v>
      </c>
    </row>
    <row r="46">
      <c r="A46" s="35"/>
      <c r="B46" s="35"/>
      <c r="C46" s="35"/>
      <c r="D46" s="35"/>
      <c r="E46" s="35"/>
      <c r="F46" s="35"/>
      <c r="G46" s="35"/>
      <c r="H46" s="35"/>
    </row>
    <row r="47">
      <c r="A47" s="35"/>
      <c r="B47" s="35"/>
      <c r="C47" s="30" t="s">
        <v>463</v>
      </c>
      <c r="D47" s="30" t="s">
        <v>549</v>
      </c>
      <c r="E47" s="30">
        <v>1.0</v>
      </c>
      <c r="F47" s="30">
        <v>20600.0</v>
      </c>
      <c r="G47" s="35"/>
      <c r="H47" s="30">
        <v>17900.0</v>
      </c>
      <c r="I47" s="13" t="s">
        <v>521</v>
      </c>
    </row>
    <row r="48">
      <c r="A48" s="35"/>
      <c r="B48" s="35"/>
      <c r="C48" s="35"/>
      <c r="D48" s="30" t="s">
        <v>550</v>
      </c>
      <c r="E48" s="30">
        <v>1.0</v>
      </c>
      <c r="F48" s="30">
        <v>14200.0</v>
      </c>
      <c r="G48" s="35"/>
      <c r="H48" s="30">
        <v>12300.0</v>
      </c>
    </row>
    <row r="49">
      <c r="A49" s="35"/>
      <c r="B49" s="35"/>
      <c r="C49" s="35"/>
      <c r="D49" s="30" t="s">
        <v>551</v>
      </c>
      <c r="E49" s="30">
        <v>1.0</v>
      </c>
      <c r="F49" s="30">
        <v>17700.0</v>
      </c>
      <c r="G49" s="35"/>
      <c r="H49" s="30">
        <v>15400.0</v>
      </c>
    </row>
    <row r="50">
      <c r="A50" s="35"/>
      <c r="B50" s="35"/>
      <c r="C50" s="35"/>
      <c r="D50" s="30" t="s">
        <v>444</v>
      </c>
      <c r="E50" s="30">
        <v>1.0</v>
      </c>
      <c r="F50" s="30">
        <v>10500.0</v>
      </c>
      <c r="G50" s="35"/>
      <c r="H50" s="30">
        <v>7900.0</v>
      </c>
    </row>
    <row r="51">
      <c r="A51" s="35"/>
      <c r="B51" s="35"/>
      <c r="C51" s="35"/>
      <c r="D51" s="30" t="s">
        <v>552</v>
      </c>
      <c r="E51" s="30">
        <v>1.0</v>
      </c>
      <c r="F51" s="30">
        <v>6900.0</v>
      </c>
      <c r="G51" s="35"/>
      <c r="H51" s="30">
        <v>6000.0</v>
      </c>
    </row>
    <row r="52">
      <c r="A52" s="35"/>
      <c r="B52" s="35"/>
      <c r="C52" s="35"/>
      <c r="D52" s="30" t="s">
        <v>553</v>
      </c>
      <c r="E52" s="52">
        <v>45779.0</v>
      </c>
      <c r="F52" s="53">
        <v>5000.0</v>
      </c>
      <c r="G52" s="35"/>
      <c r="H52" s="30">
        <v>8000.0</v>
      </c>
    </row>
    <row r="53">
      <c r="A53" s="35"/>
      <c r="B53" s="35"/>
      <c r="C53" s="35"/>
      <c r="D53" s="35"/>
      <c r="E53" s="35"/>
      <c r="F53" s="35"/>
      <c r="G53" s="35"/>
      <c r="H53" s="35"/>
    </row>
    <row r="54">
      <c r="A54" s="35"/>
      <c r="B54" s="35"/>
      <c r="C54" s="30" t="s">
        <v>554</v>
      </c>
      <c r="D54" s="30" t="s">
        <v>555</v>
      </c>
      <c r="E54" s="30">
        <v>1.0</v>
      </c>
      <c r="F54" s="30">
        <v>4000.0</v>
      </c>
      <c r="G54" s="35"/>
      <c r="H54" s="30">
        <v>3400.0</v>
      </c>
      <c r="I54" s="13" t="s">
        <v>521</v>
      </c>
    </row>
    <row r="55">
      <c r="A55" s="35"/>
      <c r="B55" s="35"/>
      <c r="C55" s="35"/>
      <c r="D55" s="30"/>
      <c r="E55" s="30"/>
      <c r="F55" s="53"/>
      <c r="G55" s="35"/>
      <c r="H55" s="30">
        <v>3900.0</v>
      </c>
    </row>
    <row r="56">
      <c r="A56" s="35"/>
      <c r="B56" s="35"/>
      <c r="C56" s="35"/>
      <c r="D56" s="35"/>
      <c r="E56" s="35"/>
      <c r="F56" s="35"/>
      <c r="G56" s="35"/>
      <c r="H56" s="35"/>
    </row>
    <row r="57">
      <c r="A57" s="35"/>
      <c r="B57" s="35"/>
      <c r="C57" s="30" t="s">
        <v>464</v>
      </c>
      <c r="D57" s="30" t="s">
        <v>556</v>
      </c>
      <c r="E57" s="54">
        <v>45689.0</v>
      </c>
      <c r="F57" s="30">
        <v>3100.0</v>
      </c>
      <c r="G57" s="35"/>
      <c r="H57" s="30">
        <v>2700.0</v>
      </c>
      <c r="I57" s="13" t="s">
        <v>521</v>
      </c>
    </row>
    <row r="58">
      <c r="A58" s="35"/>
      <c r="B58" s="35"/>
      <c r="C58" s="35"/>
      <c r="D58" s="35"/>
      <c r="E58" s="35"/>
      <c r="F58" s="35"/>
      <c r="G58" s="35"/>
      <c r="H58" s="35"/>
    </row>
    <row r="59">
      <c r="A59" s="35"/>
      <c r="B59" s="35"/>
      <c r="C59" s="30" t="s">
        <v>557</v>
      </c>
      <c r="D59" s="30" t="s">
        <v>558</v>
      </c>
      <c r="E59" s="30">
        <v>1.0</v>
      </c>
      <c r="F59" s="30">
        <v>4200.0</v>
      </c>
      <c r="G59" s="35"/>
      <c r="H59" s="30">
        <v>3600.0</v>
      </c>
      <c r="I59" s="13" t="s">
        <v>521</v>
      </c>
    </row>
    <row r="60">
      <c r="A60" s="35"/>
      <c r="B60" s="35"/>
      <c r="C60" s="35"/>
      <c r="D60" s="30" t="s">
        <v>559</v>
      </c>
      <c r="E60" s="30">
        <v>1.0</v>
      </c>
      <c r="F60" s="30">
        <v>14600.0</v>
      </c>
      <c r="G60" s="35"/>
      <c r="H60" s="30">
        <v>12700.0</v>
      </c>
    </row>
    <row r="61">
      <c r="A61" s="35"/>
      <c r="B61" s="35"/>
      <c r="C61" s="35"/>
      <c r="D61" s="30" t="s">
        <v>549</v>
      </c>
      <c r="E61" s="30">
        <v>1.0</v>
      </c>
      <c r="F61" s="30">
        <v>20600.0</v>
      </c>
      <c r="G61" s="35"/>
      <c r="H61" s="30">
        <v>17900.0</v>
      </c>
    </row>
    <row r="62">
      <c r="A62" s="35"/>
      <c r="B62" s="35"/>
      <c r="C62" s="35"/>
      <c r="D62" s="35"/>
      <c r="E62" s="35"/>
      <c r="F62" s="35"/>
      <c r="G62" s="35"/>
      <c r="H62" s="35"/>
    </row>
    <row r="63">
      <c r="A63" s="35"/>
      <c r="B63" s="35"/>
      <c r="C63" s="30" t="s">
        <v>466</v>
      </c>
      <c r="D63" s="30" t="s">
        <v>551</v>
      </c>
      <c r="E63" s="30">
        <v>1.0</v>
      </c>
      <c r="F63" s="30">
        <v>17700.0</v>
      </c>
      <c r="G63" s="35"/>
      <c r="H63" s="30">
        <v>15400.0</v>
      </c>
      <c r="I63" s="13" t="s">
        <v>521</v>
      </c>
    </row>
    <row r="64">
      <c r="A64" s="35"/>
      <c r="B64" s="35"/>
      <c r="C64" s="35"/>
      <c r="D64" s="35"/>
      <c r="E64" s="35"/>
      <c r="F64" s="35"/>
      <c r="G64" s="35"/>
      <c r="H64" s="35"/>
    </row>
    <row r="65">
      <c r="A65" s="35"/>
      <c r="B65" s="35"/>
      <c r="C65" s="30" t="s">
        <v>560</v>
      </c>
      <c r="D65" s="30" t="s">
        <v>549</v>
      </c>
      <c r="E65" s="30">
        <v>2.0</v>
      </c>
      <c r="F65" s="53">
        <v>41200.0</v>
      </c>
      <c r="G65" s="35"/>
      <c r="H65" s="30">
        <v>35800.0</v>
      </c>
    </row>
    <row r="66">
      <c r="A66" s="35"/>
      <c r="B66" s="35"/>
      <c r="C66" s="30"/>
      <c r="D66" s="30" t="s">
        <v>550</v>
      </c>
      <c r="E66" s="30">
        <v>1.0</v>
      </c>
      <c r="F66" s="30">
        <v>14200.0</v>
      </c>
      <c r="G66" s="35"/>
      <c r="H66" s="30">
        <v>12300.0</v>
      </c>
    </row>
    <row r="67">
      <c r="A67" s="35"/>
      <c r="B67" s="35"/>
      <c r="C67" s="30"/>
      <c r="D67" s="30"/>
      <c r="E67" s="30"/>
      <c r="F67" s="30"/>
      <c r="G67" s="35"/>
      <c r="H67" s="30"/>
    </row>
    <row r="68">
      <c r="A68" s="35"/>
      <c r="B68" s="35"/>
      <c r="C68" s="30" t="s">
        <v>542</v>
      </c>
      <c r="D68" s="30" t="s">
        <v>561</v>
      </c>
      <c r="E68" s="30">
        <v>1.0</v>
      </c>
      <c r="F68" s="30">
        <v>23940.0</v>
      </c>
      <c r="G68" s="35"/>
      <c r="H68" s="30">
        <v>23940.0</v>
      </c>
    </row>
    <row r="69">
      <c r="A69" s="35"/>
      <c r="B69" s="35"/>
      <c r="C69" s="35"/>
      <c r="D69" s="30" t="s">
        <v>551</v>
      </c>
      <c r="E69" s="30">
        <v>1.0</v>
      </c>
      <c r="F69" s="30">
        <v>15400.0</v>
      </c>
      <c r="G69" s="35"/>
      <c r="H69" s="30">
        <v>15400.0</v>
      </c>
    </row>
    <row r="70">
      <c r="A70" s="35"/>
      <c r="B70" s="35"/>
      <c r="C70" s="35"/>
      <c r="D70" s="30" t="s">
        <v>562</v>
      </c>
      <c r="E70" s="30">
        <v>1.0</v>
      </c>
      <c r="F70" s="30">
        <v>3600.0</v>
      </c>
      <c r="G70" s="35"/>
      <c r="H70" s="30">
        <v>3600.0</v>
      </c>
    </row>
    <row r="71">
      <c r="A71" s="35"/>
      <c r="B71" s="35"/>
      <c r="C71" s="35"/>
      <c r="D71" s="30" t="s">
        <v>563</v>
      </c>
      <c r="E71" s="30">
        <v>1.0</v>
      </c>
      <c r="F71" s="30">
        <v>2700.0</v>
      </c>
      <c r="G71" s="35"/>
      <c r="H71" s="35"/>
    </row>
    <row r="72">
      <c r="A72" s="35"/>
      <c r="B72" s="35"/>
      <c r="C72" s="35"/>
      <c r="D72" s="35"/>
      <c r="E72" s="35"/>
      <c r="F72" s="35">
        <f>SUM(F39:F71)</f>
        <v>270940</v>
      </c>
      <c r="G72" s="35"/>
      <c r="H72" s="35">
        <f>SUM(H39:H69)</f>
        <v>240040</v>
      </c>
    </row>
    <row r="73">
      <c r="A73" s="35"/>
      <c r="B73" s="35"/>
      <c r="C73" s="30" t="s">
        <v>468</v>
      </c>
      <c r="D73" s="30" t="s">
        <v>564</v>
      </c>
      <c r="E73" s="30">
        <v>1.0</v>
      </c>
      <c r="F73" s="30">
        <v>6900.0</v>
      </c>
      <c r="G73" s="30">
        <v>6900.0</v>
      </c>
      <c r="H73" s="35"/>
      <c r="I73" s="14" t="s">
        <v>521</v>
      </c>
      <c r="J73" s="13" t="s">
        <v>521</v>
      </c>
    </row>
    <row r="74">
      <c r="A74" s="35"/>
      <c r="B74" s="35"/>
      <c r="C74" s="30" t="s">
        <v>469</v>
      </c>
      <c r="D74" s="30" t="s">
        <v>565</v>
      </c>
      <c r="E74" s="30">
        <v>2.0</v>
      </c>
      <c r="F74" s="30">
        <v>4200.0</v>
      </c>
      <c r="G74" s="30">
        <v>8400.0</v>
      </c>
      <c r="H74" s="35"/>
      <c r="I74" s="14" t="s">
        <v>521</v>
      </c>
      <c r="J74" s="13" t="s">
        <v>521</v>
      </c>
    </row>
    <row r="75">
      <c r="A75" s="35"/>
      <c r="B75" s="35"/>
      <c r="C75" s="30"/>
      <c r="D75" s="30"/>
      <c r="E75" s="30"/>
      <c r="F75" s="35"/>
      <c r="G75" s="35"/>
      <c r="H75" s="35"/>
    </row>
    <row r="76">
      <c r="A76" s="55" t="s">
        <v>566</v>
      </c>
      <c r="B76" s="55"/>
      <c r="C76" s="30"/>
      <c r="D76" s="30"/>
      <c r="E76" s="30"/>
      <c r="F76" s="35"/>
      <c r="G76" s="35"/>
      <c r="H76" s="35"/>
    </row>
    <row r="77">
      <c r="A77" s="35"/>
      <c r="B77" s="35"/>
      <c r="C77" s="30" t="s">
        <v>470</v>
      </c>
      <c r="D77" s="30" t="s">
        <v>567</v>
      </c>
      <c r="E77" s="30">
        <v>1.0</v>
      </c>
      <c r="F77" s="30">
        <v>4200.0</v>
      </c>
      <c r="G77" s="30">
        <v>4200.0</v>
      </c>
      <c r="H77" s="35"/>
      <c r="I77" s="13" t="s">
        <v>521</v>
      </c>
    </row>
    <row r="78">
      <c r="A78" s="35"/>
      <c r="B78" s="35"/>
      <c r="C78" s="30" t="s">
        <v>470</v>
      </c>
      <c r="D78" s="30" t="s">
        <v>568</v>
      </c>
      <c r="E78" s="30">
        <v>1.0</v>
      </c>
      <c r="F78" s="30">
        <v>1900.0</v>
      </c>
      <c r="G78" s="30">
        <v>1900.0</v>
      </c>
      <c r="H78" s="35"/>
      <c r="I78" s="13" t="s">
        <v>521</v>
      </c>
    </row>
    <row r="79">
      <c r="A79" s="35"/>
      <c r="B79" s="35"/>
      <c r="C79" s="30" t="s">
        <v>470</v>
      </c>
      <c r="D79" s="30" t="s">
        <v>438</v>
      </c>
      <c r="E79" s="30">
        <v>1.0</v>
      </c>
      <c r="F79" s="30">
        <v>5300.0</v>
      </c>
      <c r="G79" s="30">
        <v>5300.0</v>
      </c>
      <c r="H79" s="35"/>
      <c r="I79" s="13" t="s">
        <v>521</v>
      </c>
    </row>
    <row r="80">
      <c r="A80" s="35"/>
      <c r="B80" s="35"/>
      <c r="C80" s="30" t="s">
        <v>471</v>
      </c>
      <c r="D80" s="30" t="s">
        <v>569</v>
      </c>
      <c r="E80" s="30">
        <v>1.0</v>
      </c>
      <c r="F80" s="30">
        <v>6900.0</v>
      </c>
      <c r="G80" s="30">
        <v>6900.0</v>
      </c>
      <c r="H80" s="35"/>
      <c r="I80" s="13" t="s">
        <v>521</v>
      </c>
      <c r="J80" s="13" t="s">
        <v>521</v>
      </c>
    </row>
    <row r="81">
      <c r="A81" s="35"/>
      <c r="B81" s="35"/>
      <c r="C81" s="30" t="s">
        <v>471</v>
      </c>
      <c r="D81" s="30" t="s">
        <v>570</v>
      </c>
      <c r="E81" s="30">
        <v>3.0</v>
      </c>
      <c r="F81" s="30">
        <v>14600.0</v>
      </c>
      <c r="G81" s="30">
        <v>43800.0</v>
      </c>
      <c r="H81" s="35"/>
      <c r="I81" s="13" t="s">
        <v>521</v>
      </c>
    </row>
    <row r="82">
      <c r="A82" s="35"/>
      <c r="B82" s="35"/>
      <c r="C82" s="30" t="s">
        <v>471</v>
      </c>
      <c r="D82" s="30" t="s">
        <v>571</v>
      </c>
      <c r="E82" s="30">
        <v>1.0</v>
      </c>
      <c r="F82" s="30">
        <v>1900.0</v>
      </c>
      <c r="G82" s="30">
        <v>1900.0</v>
      </c>
      <c r="H82" s="35"/>
      <c r="I82" s="13" t="s">
        <v>521</v>
      </c>
    </row>
    <row r="83">
      <c r="A83" s="35"/>
      <c r="B83" s="35"/>
      <c r="C83" s="30" t="s">
        <v>471</v>
      </c>
      <c r="D83" s="30" t="s">
        <v>572</v>
      </c>
      <c r="E83" s="30">
        <v>1.0</v>
      </c>
      <c r="F83" s="30">
        <v>14400.0</v>
      </c>
      <c r="G83" s="30">
        <v>14400.0</v>
      </c>
      <c r="H83" s="35"/>
      <c r="I83" s="13" t="s">
        <v>521</v>
      </c>
    </row>
    <row r="84">
      <c r="A84" s="35"/>
      <c r="B84" s="35"/>
      <c r="C84" s="30" t="s">
        <v>471</v>
      </c>
      <c r="D84" s="30" t="s">
        <v>573</v>
      </c>
      <c r="E84" s="30">
        <v>1.0</v>
      </c>
      <c r="F84" s="30">
        <v>4900.0</v>
      </c>
      <c r="G84" s="30">
        <v>4900.0</v>
      </c>
      <c r="H84" s="35"/>
      <c r="I84" s="13" t="s">
        <v>521</v>
      </c>
    </row>
    <row r="85">
      <c r="C85" s="13"/>
      <c r="D85" s="13"/>
      <c r="E85" s="13"/>
      <c r="F85" s="13"/>
    </row>
    <row r="86">
      <c r="C86" s="13" t="s">
        <v>554</v>
      </c>
      <c r="D86" s="13" t="s">
        <v>574</v>
      </c>
      <c r="E86" s="13">
        <v>1.0</v>
      </c>
      <c r="F86" s="13">
        <v>5000.0</v>
      </c>
      <c r="G86" s="13">
        <v>5000.0</v>
      </c>
      <c r="H86" s="13">
        <v>3900.0</v>
      </c>
      <c r="I86" s="13" t="s">
        <v>575</v>
      </c>
    </row>
    <row r="88">
      <c r="C88" s="13" t="s">
        <v>576</v>
      </c>
      <c r="D88" s="13" t="s">
        <v>577</v>
      </c>
      <c r="E88" s="13">
        <v>2.0</v>
      </c>
      <c r="F88" s="13">
        <v>18000.0</v>
      </c>
      <c r="G88" s="13">
        <v>36000.0</v>
      </c>
      <c r="H88" s="13">
        <v>31500.0</v>
      </c>
      <c r="I88" s="13" t="s">
        <v>521</v>
      </c>
    </row>
    <row r="89">
      <c r="D89" s="13" t="s">
        <v>578</v>
      </c>
      <c r="E89" s="13">
        <v>1.0</v>
      </c>
      <c r="F89" s="13">
        <v>4000.0</v>
      </c>
      <c r="G89" s="13">
        <v>4000.0</v>
      </c>
      <c r="H89" s="13">
        <v>3600.0</v>
      </c>
    </row>
    <row r="90">
      <c r="D90" s="13" t="s">
        <v>579</v>
      </c>
      <c r="E90" s="13">
        <v>1.0</v>
      </c>
      <c r="F90" s="13">
        <v>1100.0</v>
      </c>
      <c r="G90" s="13">
        <v>1100.0</v>
      </c>
      <c r="H90" s="13">
        <v>3900.0</v>
      </c>
    </row>
    <row r="91">
      <c r="D91" s="13" t="s">
        <v>580</v>
      </c>
      <c r="E91" s="13">
        <v>5.0</v>
      </c>
      <c r="F91" s="13">
        <v>11000.0</v>
      </c>
      <c r="G91" s="13">
        <v>11000.0</v>
      </c>
      <c r="H91" s="13">
        <v>8000.0</v>
      </c>
    </row>
    <row r="92">
      <c r="D92" s="13" t="s">
        <v>581</v>
      </c>
      <c r="E92" s="13">
        <v>1.0</v>
      </c>
      <c r="F92" s="56">
        <v>5700.0</v>
      </c>
      <c r="H92" s="13">
        <v>4700.0</v>
      </c>
    </row>
    <row r="93">
      <c r="D93" s="13" t="s">
        <v>582</v>
      </c>
      <c r="E93" s="13">
        <v>1.0</v>
      </c>
      <c r="F93" s="13">
        <v>3000.0</v>
      </c>
      <c r="G93" s="13">
        <v>3000.0</v>
      </c>
      <c r="H93" s="13">
        <v>2600.0</v>
      </c>
    </row>
    <row r="94">
      <c r="D94" s="13" t="s">
        <v>583</v>
      </c>
      <c r="E94" s="13">
        <v>1.0</v>
      </c>
      <c r="F94" s="13">
        <v>3200.0</v>
      </c>
      <c r="G94" s="13">
        <v>3200.0</v>
      </c>
      <c r="H94" s="13">
        <v>3400.0</v>
      </c>
    </row>
    <row r="95">
      <c r="D95" s="13" t="s">
        <v>584</v>
      </c>
      <c r="E95" s="13">
        <v>1.0</v>
      </c>
      <c r="F95" s="56">
        <v>2500.0</v>
      </c>
    </row>
    <row r="96">
      <c r="D96" s="13" t="s">
        <v>444</v>
      </c>
      <c r="E96" s="13">
        <v>1.0</v>
      </c>
      <c r="F96" s="13">
        <v>10500.0</v>
      </c>
      <c r="G96" s="13">
        <v>10500.0</v>
      </c>
      <c r="H96" s="13">
        <v>7900.0</v>
      </c>
    </row>
    <row r="98">
      <c r="C98" s="13" t="s">
        <v>472</v>
      </c>
      <c r="D98" s="13" t="s">
        <v>585</v>
      </c>
      <c r="E98" s="13">
        <v>1.0</v>
      </c>
      <c r="F98" s="13">
        <v>3000.0</v>
      </c>
      <c r="G98" s="13">
        <v>3000.0</v>
      </c>
      <c r="I98" s="13" t="s">
        <v>521</v>
      </c>
    </row>
    <row r="99">
      <c r="D99" s="13" t="s">
        <v>586</v>
      </c>
      <c r="E99" s="13">
        <v>1.0</v>
      </c>
      <c r="F99" s="13">
        <v>4500.0</v>
      </c>
      <c r="G99" s="13">
        <v>4500.0</v>
      </c>
      <c r="H99" s="13" t="s">
        <v>587</v>
      </c>
    </row>
    <row r="100">
      <c r="D100" s="13" t="s">
        <v>588</v>
      </c>
      <c r="E100" s="13">
        <v>1.0</v>
      </c>
      <c r="F100" s="13"/>
      <c r="G100" s="13"/>
    </row>
    <row r="103">
      <c r="C103" s="13" t="s">
        <v>473</v>
      </c>
      <c r="D103" s="13" t="s">
        <v>589</v>
      </c>
      <c r="E103" s="13">
        <v>1.0</v>
      </c>
      <c r="G103" s="13">
        <v>17700.0</v>
      </c>
      <c r="H103" s="13">
        <v>15400.0</v>
      </c>
      <c r="I103" s="13" t="s">
        <v>521</v>
      </c>
    </row>
    <row r="104">
      <c r="D104" s="13" t="s">
        <v>590</v>
      </c>
      <c r="E104" s="13">
        <v>1.0</v>
      </c>
      <c r="G104" s="13">
        <v>3000.0</v>
      </c>
      <c r="H104" s="13">
        <v>2500.0</v>
      </c>
    </row>
    <row r="105">
      <c r="D105" s="13" t="s">
        <v>579</v>
      </c>
      <c r="E105" s="13">
        <v>1.0</v>
      </c>
      <c r="F105" s="13">
        <v>1100.0</v>
      </c>
      <c r="G105" s="13">
        <v>1100.0</v>
      </c>
    </row>
    <row r="106">
      <c r="D106" s="13" t="s">
        <v>584</v>
      </c>
      <c r="E106" s="13">
        <v>1.0</v>
      </c>
      <c r="F106" s="13">
        <v>2500.0</v>
      </c>
    </row>
    <row r="107">
      <c r="D107" s="13" t="s">
        <v>591</v>
      </c>
      <c r="E107" s="13">
        <v>1.0</v>
      </c>
      <c r="F107" s="13">
        <v>8200.0</v>
      </c>
      <c r="G107" s="13">
        <v>8200.0</v>
      </c>
      <c r="H107" s="13">
        <v>6800.0</v>
      </c>
    </row>
    <row r="108">
      <c r="D108" s="13" t="s">
        <v>592</v>
      </c>
      <c r="E108" s="13" t="s">
        <v>593</v>
      </c>
      <c r="F108" s="13">
        <v>1500.0</v>
      </c>
      <c r="G108" s="13">
        <v>1500.0</v>
      </c>
      <c r="H108" s="13">
        <v>2200.0</v>
      </c>
    </row>
    <row r="110">
      <c r="C110" s="13" t="s">
        <v>594</v>
      </c>
      <c r="D110" s="13" t="s">
        <v>595</v>
      </c>
      <c r="G110" s="13">
        <v>4000.0</v>
      </c>
      <c r="H110" s="13">
        <v>3600.0</v>
      </c>
      <c r="I110" s="13" t="s">
        <v>521</v>
      </c>
    </row>
    <row r="111">
      <c r="D111" s="13" t="s">
        <v>596</v>
      </c>
      <c r="G111" s="13">
        <v>5400.0</v>
      </c>
      <c r="H111" s="13">
        <v>4500.0</v>
      </c>
    </row>
    <row r="112">
      <c r="D112" s="13" t="s">
        <v>597</v>
      </c>
      <c r="G112" s="13">
        <v>7000.0</v>
      </c>
      <c r="H112" s="13">
        <v>7000.0</v>
      </c>
    </row>
    <row r="113">
      <c r="D113" s="13" t="s">
        <v>598</v>
      </c>
      <c r="G113" s="13">
        <v>18000.0</v>
      </c>
      <c r="H113" s="13">
        <v>15500.0</v>
      </c>
    </row>
    <row r="115">
      <c r="A115" s="57">
        <v>45754.0</v>
      </c>
      <c r="B115" s="57"/>
      <c r="C115" s="58" t="s">
        <v>599</v>
      </c>
      <c r="D115" s="59" t="s">
        <v>600</v>
      </c>
      <c r="E115" s="59" t="s">
        <v>601</v>
      </c>
      <c r="F115" s="59">
        <v>5300.0</v>
      </c>
      <c r="G115" s="59">
        <v>10600.0</v>
      </c>
      <c r="H115" s="60">
        <f>4600*2</f>
        <v>9200</v>
      </c>
      <c r="I115" s="13" t="s">
        <v>521</v>
      </c>
    </row>
    <row r="116">
      <c r="C116" s="61"/>
      <c r="D116" s="13" t="s">
        <v>444</v>
      </c>
      <c r="E116" s="13" t="s">
        <v>528</v>
      </c>
      <c r="F116" s="13">
        <v>10500.0</v>
      </c>
      <c r="G116" s="13">
        <v>21000.0</v>
      </c>
      <c r="H116" s="62">
        <f>7900*2</f>
        <v>15800</v>
      </c>
    </row>
    <row r="117">
      <c r="C117" s="63"/>
      <c r="D117" s="64" t="s">
        <v>602</v>
      </c>
      <c r="E117" s="64" t="s">
        <v>539</v>
      </c>
      <c r="F117" s="64">
        <v>6900.0</v>
      </c>
      <c r="G117" s="64">
        <v>6900.0</v>
      </c>
      <c r="H117" s="65">
        <v>6000.0</v>
      </c>
    </row>
    <row r="118" hidden="1"/>
    <row r="119">
      <c r="C119" s="66" t="s">
        <v>603</v>
      </c>
      <c r="D119" s="67" t="s">
        <v>577</v>
      </c>
      <c r="E119" s="67" t="s">
        <v>604</v>
      </c>
      <c r="F119" s="68"/>
      <c r="G119" s="67">
        <v>18000.0</v>
      </c>
      <c r="H119" s="69">
        <v>15600.0</v>
      </c>
      <c r="I119" s="13" t="s">
        <v>521</v>
      </c>
    </row>
    <row r="120" hidden="1"/>
    <row r="121" hidden="1"/>
    <row r="122">
      <c r="C122" s="58" t="s">
        <v>486</v>
      </c>
      <c r="D122" s="59" t="s">
        <v>605</v>
      </c>
      <c r="E122" s="59" t="s">
        <v>426</v>
      </c>
      <c r="F122" s="70"/>
      <c r="G122" s="59">
        <v>6700.0</v>
      </c>
      <c r="H122" s="60">
        <v>5800.0</v>
      </c>
    </row>
    <row r="123">
      <c r="C123" s="61"/>
      <c r="D123" s="13" t="s">
        <v>596</v>
      </c>
      <c r="E123" s="13" t="s">
        <v>426</v>
      </c>
      <c r="H123" s="62">
        <v>4500.0</v>
      </c>
    </row>
    <row r="124">
      <c r="C124" s="61"/>
      <c r="D124" s="13" t="s">
        <v>606</v>
      </c>
      <c r="E124" s="13" t="s">
        <v>426</v>
      </c>
      <c r="G124" s="13">
        <v>5400.0</v>
      </c>
      <c r="H124" s="62">
        <v>4500.0</v>
      </c>
    </row>
    <row r="125">
      <c r="C125" s="71"/>
      <c r="D125" s="13" t="s">
        <v>555</v>
      </c>
      <c r="E125" s="13" t="s">
        <v>426</v>
      </c>
      <c r="G125" s="13">
        <v>4000.0</v>
      </c>
      <c r="H125" s="62">
        <v>3400.0</v>
      </c>
    </row>
    <row r="126">
      <c r="C126" s="72"/>
      <c r="D126" s="64" t="s">
        <v>607</v>
      </c>
      <c r="E126" s="64" t="s">
        <v>426</v>
      </c>
      <c r="F126" s="73"/>
      <c r="G126" s="64">
        <v>6600.0</v>
      </c>
      <c r="H126" s="65">
        <v>5650.0</v>
      </c>
    </row>
    <row r="127" hidden="1">
      <c r="C127" s="13"/>
    </row>
    <row r="128">
      <c r="C128" s="58" t="s">
        <v>477</v>
      </c>
      <c r="D128" s="59" t="s">
        <v>543</v>
      </c>
      <c r="E128" s="59" t="s">
        <v>426</v>
      </c>
      <c r="F128" s="70"/>
      <c r="G128" s="59">
        <v>6900.0</v>
      </c>
      <c r="H128" s="60">
        <v>6000.0</v>
      </c>
      <c r="I128" s="13" t="s">
        <v>521</v>
      </c>
    </row>
    <row r="129">
      <c r="C129" s="61"/>
      <c r="D129" s="13" t="s">
        <v>608</v>
      </c>
      <c r="E129" s="13" t="s">
        <v>426</v>
      </c>
      <c r="G129" s="13">
        <v>3000.0</v>
      </c>
      <c r="H129" s="62">
        <v>2600.0</v>
      </c>
    </row>
    <row r="130">
      <c r="C130" s="61"/>
      <c r="D130" s="13" t="s">
        <v>609</v>
      </c>
      <c r="E130" s="13">
        <v>1.0</v>
      </c>
      <c r="G130" s="13">
        <v>4000.0</v>
      </c>
      <c r="H130" s="62">
        <v>3300.0</v>
      </c>
    </row>
    <row r="131">
      <c r="C131" s="61"/>
      <c r="D131" s="13" t="s">
        <v>610</v>
      </c>
      <c r="G131" s="13">
        <v>4500.0</v>
      </c>
      <c r="H131" s="62">
        <v>3600.0</v>
      </c>
    </row>
    <row r="132">
      <c r="C132" s="63"/>
      <c r="D132" s="64" t="s">
        <v>611</v>
      </c>
      <c r="E132" s="73"/>
      <c r="F132" s="64">
        <v>1500.0</v>
      </c>
      <c r="G132" s="64">
        <v>1500.0</v>
      </c>
      <c r="H132" s="65">
        <v>2200.0</v>
      </c>
    </row>
    <row r="133" hidden="1"/>
    <row r="134" hidden="1"/>
    <row r="135" hidden="1"/>
    <row r="136">
      <c r="C136" s="58" t="s">
        <v>478</v>
      </c>
      <c r="D136" s="59" t="s">
        <v>612</v>
      </c>
      <c r="E136" s="59" t="s">
        <v>426</v>
      </c>
      <c r="F136" s="74">
        <v>17700.0</v>
      </c>
      <c r="G136" s="59">
        <v>17700.0</v>
      </c>
      <c r="H136" s="60">
        <v>15400.0</v>
      </c>
      <c r="I136" s="13" t="s">
        <v>521</v>
      </c>
    </row>
    <row r="137">
      <c r="C137" s="63"/>
      <c r="D137" s="64" t="s">
        <v>613</v>
      </c>
      <c r="E137" s="64" t="s">
        <v>426</v>
      </c>
      <c r="F137" s="64">
        <v>3000.0</v>
      </c>
      <c r="G137" s="64">
        <v>3000.0</v>
      </c>
      <c r="H137" s="65">
        <v>2500.0</v>
      </c>
    </row>
    <row r="138" hidden="1">
      <c r="C138" s="13"/>
      <c r="D138" s="13"/>
      <c r="E138" s="13"/>
      <c r="F138" s="13"/>
      <c r="G138" s="13"/>
      <c r="H138" s="13"/>
    </row>
    <row r="139">
      <c r="C139" s="66" t="s">
        <v>479</v>
      </c>
      <c r="D139" s="67" t="s">
        <v>612</v>
      </c>
      <c r="E139" s="67" t="s">
        <v>426</v>
      </c>
      <c r="F139" s="67">
        <v>17700.0</v>
      </c>
      <c r="G139" s="67">
        <v>17700.0</v>
      </c>
      <c r="H139" s="69">
        <v>15400.0</v>
      </c>
      <c r="I139" s="13" t="s">
        <v>521</v>
      </c>
    </row>
    <row r="140" hidden="1">
      <c r="C140" s="13"/>
      <c r="D140" s="13"/>
      <c r="E140" s="13"/>
      <c r="F140" s="13"/>
      <c r="G140" s="13"/>
      <c r="H140" s="13"/>
    </row>
    <row r="141">
      <c r="C141" s="58" t="s">
        <v>614</v>
      </c>
      <c r="D141" s="59" t="s">
        <v>615</v>
      </c>
      <c r="E141" s="59" t="s">
        <v>616</v>
      </c>
      <c r="F141" s="59">
        <v>2700.0</v>
      </c>
      <c r="G141" s="59">
        <v>2700.0</v>
      </c>
      <c r="H141" s="60">
        <v>2200.0</v>
      </c>
      <c r="I141" s="13" t="s">
        <v>521</v>
      </c>
    </row>
    <row r="142">
      <c r="C142" s="63"/>
      <c r="D142" s="64" t="s">
        <v>617</v>
      </c>
      <c r="E142" s="64" t="s">
        <v>426</v>
      </c>
      <c r="F142" s="64">
        <v>18000.0</v>
      </c>
      <c r="G142" s="64">
        <v>18000.0</v>
      </c>
      <c r="H142" s="65">
        <v>15600.0</v>
      </c>
    </row>
    <row r="143" hidden="1"/>
    <row r="144">
      <c r="C144" s="66" t="s">
        <v>480</v>
      </c>
      <c r="D144" s="67" t="s">
        <v>618</v>
      </c>
      <c r="E144" s="67" t="s">
        <v>619</v>
      </c>
      <c r="F144" s="67">
        <v>15000.0</v>
      </c>
      <c r="G144" s="67">
        <v>15000.0</v>
      </c>
      <c r="H144" s="69">
        <v>26000.0</v>
      </c>
      <c r="I144" s="13" t="s">
        <v>521</v>
      </c>
    </row>
    <row r="145" hidden="1"/>
    <row r="146">
      <c r="C146" s="75"/>
      <c r="D146" s="64" t="s">
        <v>620</v>
      </c>
      <c r="E146" s="67" t="s">
        <v>426</v>
      </c>
      <c r="F146" s="64">
        <v>4200.0</v>
      </c>
      <c r="G146" s="64">
        <v>4200.0</v>
      </c>
      <c r="H146" s="69"/>
    </row>
    <row r="147">
      <c r="C147" s="58" t="s">
        <v>481</v>
      </c>
      <c r="D147" s="13" t="s">
        <v>621</v>
      </c>
      <c r="E147" s="59" t="s">
        <v>426</v>
      </c>
      <c r="F147" s="13">
        <v>3000.0</v>
      </c>
      <c r="G147" s="13">
        <v>3000.0</v>
      </c>
      <c r="H147" s="60">
        <v>2500.0</v>
      </c>
      <c r="I147" s="13" t="s">
        <v>521</v>
      </c>
    </row>
    <row r="148">
      <c r="C148" s="63"/>
      <c r="D148" s="64" t="s">
        <v>622</v>
      </c>
      <c r="E148" s="64">
        <v>1.0</v>
      </c>
      <c r="F148" s="64">
        <v>2780.0</v>
      </c>
      <c r="G148" s="64">
        <v>2780.0</v>
      </c>
      <c r="H148" s="65">
        <v>2310.0</v>
      </c>
    </row>
    <row r="149" hidden="1"/>
    <row r="150">
      <c r="C150" s="58" t="s">
        <v>623</v>
      </c>
      <c r="D150" s="59" t="s">
        <v>624</v>
      </c>
      <c r="E150" s="59" t="s">
        <v>429</v>
      </c>
      <c r="F150" s="59">
        <v>4200.0</v>
      </c>
      <c r="G150" s="59">
        <v>8400.0</v>
      </c>
      <c r="H150" s="60">
        <f>3600*2</f>
        <v>7200</v>
      </c>
      <c r="I150" s="13" t="s">
        <v>521</v>
      </c>
    </row>
    <row r="151">
      <c r="C151" s="61"/>
      <c r="D151" s="13" t="s">
        <v>625</v>
      </c>
      <c r="E151" s="13" t="s">
        <v>426</v>
      </c>
      <c r="F151" s="13">
        <v>5000.0</v>
      </c>
      <c r="G151" s="13">
        <v>5000.0</v>
      </c>
      <c r="H151" s="62">
        <v>3800.0</v>
      </c>
    </row>
    <row r="152">
      <c r="C152" s="61"/>
      <c r="D152" s="13" t="s">
        <v>438</v>
      </c>
      <c r="E152" s="13" t="s">
        <v>426</v>
      </c>
      <c r="F152" s="13">
        <v>5300.0</v>
      </c>
      <c r="G152" s="13">
        <v>5300.0</v>
      </c>
      <c r="H152" s="62">
        <v>4600.0</v>
      </c>
    </row>
    <row r="153">
      <c r="C153" s="63"/>
      <c r="D153" s="64" t="s">
        <v>626</v>
      </c>
      <c r="E153" s="64" t="s">
        <v>426</v>
      </c>
      <c r="F153" s="64">
        <v>12200.0</v>
      </c>
      <c r="G153" s="64">
        <v>12200.0</v>
      </c>
      <c r="H153" s="65">
        <v>10100.0</v>
      </c>
    </row>
    <row r="154" hidden="1">
      <c r="C154" s="13"/>
      <c r="D154" s="13"/>
      <c r="E154" s="13"/>
      <c r="F154" s="13"/>
      <c r="G154" s="13"/>
      <c r="H154" s="13"/>
    </row>
    <row r="155">
      <c r="C155" s="58" t="s">
        <v>483</v>
      </c>
      <c r="D155" s="59" t="s">
        <v>627</v>
      </c>
      <c r="E155" s="59" t="s">
        <v>426</v>
      </c>
      <c r="F155" s="59">
        <v>13500.0</v>
      </c>
      <c r="G155" s="59">
        <v>13400.0</v>
      </c>
      <c r="H155" s="60">
        <v>11500.0</v>
      </c>
      <c r="I155" s="13" t="s">
        <v>521</v>
      </c>
    </row>
    <row r="156">
      <c r="C156" s="61"/>
      <c r="D156" s="13" t="s">
        <v>590</v>
      </c>
      <c r="E156" s="13" t="s">
        <v>426</v>
      </c>
      <c r="F156" s="13">
        <v>3000.0</v>
      </c>
      <c r="G156" s="13">
        <v>3000.0</v>
      </c>
      <c r="H156" s="62">
        <v>2500.0</v>
      </c>
    </row>
    <row r="157">
      <c r="C157" s="61"/>
      <c r="D157" s="13" t="s">
        <v>628</v>
      </c>
      <c r="E157" s="13" t="s">
        <v>429</v>
      </c>
      <c r="F157" s="13">
        <v>2500.0</v>
      </c>
      <c r="G157" s="13">
        <v>5000.0</v>
      </c>
      <c r="H157" s="62">
        <f>2300*2</f>
        <v>4600</v>
      </c>
    </row>
    <row r="158">
      <c r="C158" s="61"/>
      <c r="D158" s="13" t="s">
        <v>443</v>
      </c>
      <c r="E158" s="13" t="s">
        <v>429</v>
      </c>
      <c r="F158" s="13">
        <v>14200.0</v>
      </c>
      <c r="G158" s="32">
        <f>F158*2</f>
        <v>28400</v>
      </c>
      <c r="H158" s="62">
        <f>12300*2</f>
        <v>24600</v>
      </c>
    </row>
    <row r="159">
      <c r="C159" s="61"/>
      <c r="D159" s="13" t="s">
        <v>598</v>
      </c>
      <c r="E159" s="13" t="s">
        <v>434</v>
      </c>
      <c r="F159" s="13">
        <v>18000.0</v>
      </c>
      <c r="G159" s="32">
        <f>F159*3</f>
        <v>54000</v>
      </c>
      <c r="H159" s="62">
        <f>15600*3</f>
        <v>46800</v>
      </c>
    </row>
    <row r="160">
      <c r="C160" s="61"/>
      <c r="D160" s="13" t="s">
        <v>444</v>
      </c>
      <c r="E160" s="13" t="s">
        <v>426</v>
      </c>
      <c r="F160" s="13">
        <v>10500.0</v>
      </c>
      <c r="G160" s="13">
        <v>10500.0</v>
      </c>
      <c r="H160" s="62">
        <v>7900.0</v>
      </c>
    </row>
    <row r="161">
      <c r="C161" s="61"/>
      <c r="D161" s="13" t="s">
        <v>629</v>
      </c>
      <c r="E161" s="13" t="s">
        <v>429</v>
      </c>
      <c r="F161" s="13">
        <v>20600.0</v>
      </c>
      <c r="G161" s="32">
        <f>F161*2</f>
        <v>41200</v>
      </c>
      <c r="H161" s="62">
        <f>17900*2</f>
        <v>35800</v>
      </c>
    </row>
    <row r="162">
      <c r="C162" s="63"/>
      <c r="D162" s="64" t="s">
        <v>630</v>
      </c>
      <c r="E162" s="64" t="s">
        <v>426</v>
      </c>
      <c r="F162" s="64">
        <v>7000.0</v>
      </c>
      <c r="G162" s="64">
        <v>7000.0</v>
      </c>
      <c r="H162" s="65">
        <v>4788.0</v>
      </c>
    </row>
    <row r="163" hidden="1"/>
    <row r="164" hidden="1"/>
    <row r="165">
      <c r="C165" s="58" t="s">
        <v>631</v>
      </c>
      <c r="D165" s="59" t="s">
        <v>543</v>
      </c>
      <c r="E165" s="59" t="s">
        <v>426</v>
      </c>
      <c r="F165" s="59">
        <v>6900.0</v>
      </c>
      <c r="G165" s="59">
        <v>6900.0</v>
      </c>
      <c r="H165" s="60">
        <v>6000.0</v>
      </c>
      <c r="I165" s="13" t="s">
        <v>521</v>
      </c>
    </row>
    <row r="166">
      <c r="C166" s="61"/>
      <c r="D166" s="13" t="s">
        <v>632</v>
      </c>
      <c r="E166" s="13" t="s">
        <v>426</v>
      </c>
      <c r="F166" s="13">
        <v>2200.0</v>
      </c>
      <c r="G166" s="13">
        <v>2200.0</v>
      </c>
      <c r="H166" s="62">
        <v>1800.0</v>
      </c>
    </row>
    <row r="167">
      <c r="C167" s="61"/>
      <c r="D167" s="13" t="s">
        <v>446</v>
      </c>
      <c r="E167" s="13" t="s">
        <v>426</v>
      </c>
      <c r="F167" s="13">
        <v>3000.0</v>
      </c>
      <c r="G167" s="13">
        <v>3000.0</v>
      </c>
      <c r="H167" s="62">
        <v>2600.0</v>
      </c>
    </row>
    <row r="168">
      <c r="C168" s="63"/>
      <c r="D168" s="64" t="s">
        <v>633</v>
      </c>
      <c r="E168" s="64" t="s">
        <v>539</v>
      </c>
      <c r="F168" s="64">
        <v>4200.0</v>
      </c>
      <c r="G168" s="64">
        <v>4200.0</v>
      </c>
      <c r="H168" s="65">
        <v>3600.0</v>
      </c>
    </row>
    <row r="169" hidden="1">
      <c r="J169" s="13" t="s">
        <v>521</v>
      </c>
    </row>
    <row r="170">
      <c r="C170" s="58" t="s">
        <v>634</v>
      </c>
      <c r="D170" s="59" t="s">
        <v>590</v>
      </c>
      <c r="E170" s="59" t="s">
        <v>426</v>
      </c>
      <c r="F170" s="59">
        <v>3000.0</v>
      </c>
      <c r="G170" s="59">
        <v>3000.0</v>
      </c>
      <c r="H170" s="60">
        <v>2500.0</v>
      </c>
    </row>
    <row r="171">
      <c r="C171" s="61"/>
      <c r="D171" s="13" t="s">
        <v>443</v>
      </c>
      <c r="E171" s="13" t="s">
        <v>426</v>
      </c>
      <c r="G171" s="13">
        <v>14200.0</v>
      </c>
      <c r="H171" s="76"/>
    </row>
    <row r="172">
      <c r="C172" s="61"/>
      <c r="D172" s="13" t="s">
        <v>448</v>
      </c>
      <c r="E172" s="13" t="s">
        <v>426</v>
      </c>
      <c r="G172" s="13">
        <v>19400.0</v>
      </c>
      <c r="H172" s="76"/>
    </row>
    <row r="173">
      <c r="C173" s="61"/>
      <c r="D173" s="13" t="s">
        <v>635</v>
      </c>
      <c r="E173" s="13">
        <v>1.0</v>
      </c>
      <c r="G173" s="13">
        <v>15000.0</v>
      </c>
      <c r="H173" s="76"/>
    </row>
    <row r="174">
      <c r="C174" s="61"/>
      <c r="D174" s="13" t="s">
        <v>446</v>
      </c>
      <c r="E174" s="13" t="s">
        <v>426</v>
      </c>
      <c r="G174" s="13">
        <v>3000.0</v>
      </c>
      <c r="H174" s="62">
        <v>2600.0</v>
      </c>
    </row>
    <row r="175">
      <c r="C175" s="63"/>
      <c r="D175" s="64" t="s">
        <v>636</v>
      </c>
      <c r="E175" s="64">
        <v>2.0</v>
      </c>
      <c r="F175" s="64">
        <v>3400.0</v>
      </c>
      <c r="G175" s="73">
        <f>3400*2</f>
        <v>6800</v>
      </c>
      <c r="H175" s="77"/>
      <c r="J175" s="13">
        <v>76000.0</v>
      </c>
    </row>
    <row r="176">
      <c r="A176" s="78">
        <v>45768.0</v>
      </c>
      <c r="B176" s="78"/>
    </row>
    <row r="177">
      <c r="A177" s="13" t="s">
        <v>575</v>
      </c>
      <c r="B177" s="13"/>
      <c r="C177" s="79" t="s">
        <v>623</v>
      </c>
      <c r="D177" s="13" t="s">
        <v>637</v>
      </c>
      <c r="E177" s="13">
        <v>3.0</v>
      </c>
      <c r="F177" s="13">
        <v>5300.0</v>
      </c>
      <c r="G177" s="13">
        <v>15900.0</v>
      </c>
      <c r="H177" s="32">
        <f>5400*3</f>
        <v>16200</v>
      </c>
      <c r="I177" s="13" t="s">
        <v>541</v>
      </c>
    </row>
    <row r="178">
      <c r="D178" s="13" t="s">
        <v>565</v>
      </c>
      <c r="E178" s="13">
        <v>3.0</v>
      </c>
      <c r="F178" s="13">
        <v>4200.0</v>
      </c>
      <c r="G178" s="13">
        <v>12600.0</v>
      </c>
      <c r="H178" s="32">
        <f>3600*3</f>
        <v>10800</v>
      </c>
    </row>
    <row r="179">
      <c r="H179" s="13" t="s">
        <v>514</v>
      </c>
    </row>
    <row r="182">
      <c r="A182" s="13" t="s">
        <v>521</v>
      </c>
      <c r="B182" s="13"/>
      <c r="C182" s="79" t="s">
        <v>638</v>
      </c>
      <c r="D182" s="13" t="s">
        <v>568</v>
      </c>
      <c r="E182" s="13" t="s">
        <v>426</v>
      </c>
      <c r="F182" s="13">
        <v>1900.0</v>
      </c>
      <c r="G182" s="13">
        <v>1900.0</v>
      </c>
      <c r="H182" s="13">
        <f>1940*5</f>
        <v>9700</v>
      </c>
      <c r="I182" s="13" t="s">
        <v>521</v>
      </c>
    </row>
    <row r="183">
      <c r="D183" s="13" t="s">
        <v>639</v>
      </c>
      <c r="E183" s="13" t="s">
        <v>426</v>
      </c>
      <c r="F183" s="13">
        <v>18000.0</v>
      </c>
      <c r="G183" s="13">
        <v>18000.0</v>
      </c>
      <c r="H183" s="13">
        <v>15800.0</v>
      </c>
    </row>
    <row r="184">
      <c r="D184" s="13" t="s">
        <v>640</v>
      </c>
      <c r="E184" s="13" t="s">
        <v>426</v>
      </c>
      <c r="F184" s="13">
        <v>5400.0</v>
      </c>
      <c r="G184" s="13">
        <v>5400.0</v>
      </c>
      <c r="H184" s="13">
        <v>4700.0</v>
      </c>
      <c r="I184" s="13" t="s">
        <v>641</v>
      </c>
    </row>
    <row r="186">
      <c r="C186" s="79" t="s">
        <v>642</v>
      </c>
      <c r="D186" s="13" t="s">
        <v>598</v>
      </c>
      <c r="E186" s="13" t="s">
        <v>539</v>
      </c>
      <c r="F186" s="13">
        <v>18000.0</v>
      </c>
      <c r="G186" s="13">
        <v>18000.0</v>
      </c>
      <c r="H186" s="13">
        <v>15800.0</v>
      </c>
      <c r="I186" s="13" t="s">
        <v>541</v>
      </c>
    </row>
    <row r="188">
      <c r="C188" s="79" t="s">
        <v>643</v>
      </c>
      <c r="D188" s="13" t="s">
        <v>551</v>
      </c>
      <c r="E188" s="13" t="s">
        <v>426</v>
      </c>
      <c r="G188" s="13">
        <v>17700.0</v>
      </c>
      <c r="H188" s="13">
        <v>16400.0</v>
      </c>
      <c r="I188" s="13" t="s">
        <v>521</v>
      </c>
    </row>
    <row r="189">
      <c r="D189" s="13" t="s">
        <v>644</v>
      </c>
      <c r="E189" s="13">
        <v>2.0</v>
      </c>
      <c r="G189" s="13">
        <v>5000.0</v>
      </c>
      <c r="H189" s="13">
        <f>1900*2</f>
        <v>3800</v>
      </c>
    </row>
    <row r="191">
      <c r="C191" s="79" t="s">
        <v>461</v>
      </c>
      <c r="D191" s="13" t="s">
        <v>543</v>
      </c>
      <c r="E191" s="13" t="s">
        <v>539</v>
      </c>
      <c r="F191" s="13">
        <v>6900.0</v>
      </c>
      <c r="G191" s="13">
        <v>6900.0</v>
      </c>
      <c r="H191" s="13">
        <v>6400.0</v>
      </c>
      <c r="I191" s="13" t="s">
        <v>645</v>
      </c>
    </row>
    <row r="193">
      <c r="A193" s="13" t="s">
        <v>646</v>
      </c>
      <c r="B193" s="13"/>
      <c r="C193" s="79" t="s">
        <v>647</v>
      </c>
      <c r="D193" s="13" t="s">
        <v>543</v>
      </c>
      <c r="E193" s="13" t="s">
        <v>426</v>
      </c>
      <c r="F193" s="13">
        <v>6900.0</v>
      </c>
      <c r="G193" s="13">
        <v>6900.0</v>
      </c>
      <c r="H193" s="13">
        <v>6400.0</v>
      </c>
      <c r="I193" s="13" t="s">
        <v>648</v>
      </c>
    </row>
    <row r="194">
      <c r="D194" s="13" t="s">
        <v>649</v>
      </c>
      <c r="E194" s="13" t="s">
        <v>426</v>
      </c>
      <c r="F194" s="13">
        <v>5000.0</v>
      </c>
      <c r="G194" s="13">
        <v>5000.0</v>
      </c>
      <c r="H194" s="32">
        <f>1060*5</f>
        <v>5300</v>
      </c>
    </row>
    <row r="195">
      <c r="D195" s="13" t="s">
        <v>535</v>
      </c>
      <c r="E195" s="13" t="s">
        <v>426</v>
      </c>
      <c r="F195" s="13">
        <v>4000.0</v>
      </c>
      <c r="G195" s="13">
        <v>4000.0</v>
      </c>
      <c r="H195" s="32">
        <f>3600</f>
        <v>3600</v>
      </c>
    </row>
    <row r="196">
      <c r="D196" s="13" t="s">
        <v>60</v>
      </c>
      <c r="E196" s="13" t="s">
        <v>426</v>
      </c>
      <c r="F196" s="13">
        <v>10500.0</v>
      </c>
      <c r="G196" s="13">
        <v>10500.0</v>
      </c>
      <c r="H196" s="13">
        <v>8200.0</v>
      </c>
    </row>
    <row r="197">
      <c r="D197" s="13" t="s">
        <v>650</v>
      </c>
      <c r="E197" s="13" t="s">
        <v>426</v>
      </c>
      <c r="F197" s="13">
        <v>14200.0</v>
      </c>
      <c r="G197" s="13">
        <v>14200.0</v>
      </c>
      <c r="H197" s="13">
        <v>12300.0</v>
      </c>
    </row>
    <row r="198">
      <c r="D198" s="13" t="s">
        <v>651</v>
      </c>
      <c r="E198" s="13" t="s">
        <v>426</v>
      </c>
      <c r="F198" s="13">
        <v>2200.0</v>
      </c>
      <c r="G198" s="13">
        <v>2200.0</v>
      </c>
    </row>
    <row r="199">
      <c r="C199" s="79" t="s">
        <v>652</v>
      </c>
      <c r="D199" s="13" t="s">
        <v>653</v>
      </c>
      <c r="E199" s="13" t="s">
        <v>426</v>
      </c>
      <c r="F199" s="13">
        <v>6600.0</v>
      </c>
      <c r="G199" s="13">
        <v>6600.0</v>
      </c>
      <c r="H199" s="13">
        <v>5200.0</v>
      </c>
      <c r="I199" s="13" t="s">
        <v>654</v>
      </c>
    </row>
    <row r="200">
      <c r="D200" s="13" t="s">
        <v>655</v>
      </c>
      <c r="E200" s="13" t="s">
        <v>426</v>
      </c>
      <c r="F200" s="13">
        <v>5000.0</v>
      </c>
      <c r="G200" s="13">
        <v>5000.0</v>
      </c>
      <c r="H200" s="13">
        <v>3200.0</v>
      </c>
    </row>
    <row r="202">
      <c r="A202" s="13" t="s">
        <v>654</v>
      </c>
      <c r="B202" s="13"/>
      <c r="C202" s="79" t="s">
        <v>493</v>
      </c>
      <c r="D202" s="13" t="s">
        <v>653</v>
      </c>
      <c r="E202" s="13" t="s">
        <v>426</v>
      </c>
      <c r="F202" s="13">
        <v>6600.0</v>
      </c>
      <c r="G202" s="13">
        <v>6600.0</v>
      </c>
      <c r="H202" s="13">
        <v>5200.0</v>
      </c>
      <c r="I202" s="13" t="s">
        <v>656</v>
      </c>
    </row>
    <row r="203">
      <c r="D203" s="13" t="s">
        <v>657</v>
      </c>
      <c r="E203" s="13" t="s">
        <v>658</v>
      </c>
      <c r="F203" s="13">
        <v>4000.0</v>
      </c>
      <c r="G203" s="13">
        <v>4000.0</v>
      </c>
    </row>
    <row r="205">
      <c r="C205" s="79" t="s">
        <v>494</v>
      </c>
      <c r="D205" s="13" t="s">
        <v>551</v>
      </c>
      <c r="E205" s="13" t="s">
        <v>426</v>
      </c>
      <c r="G205" s="13">
        <v>17700.0</v>
      </c>
      <c r="H205" s="13">
        <v>16400.0</v>
      </c>
      <c r="I205" s="13" t="s">
        <v>645</v>
      </c>
    </row>
    <row r="206">
      <c r="D206" s="13" t="s">
        <v>659</v>
      </c>
      <c r="E206" s="13" t="s">
        <v>426</v>
      </c>
      <c r="G206" s="13">
        <v>2650.0</v>
      </c>
      <c r="H206" s="13">
        <v>2800.0</v>
      </c>
    </row>
    <row r="207">
      <c r="D207" s="13" t="s">
        <v>579</v>
      </c>
      <c r="E207" s="13" t="s">
        <v>426</v>
      </c>
      <c r="G207" s="13">
        <v>1100.0</v>
      </c>
    </row>
    <row r="208">
      <c r="D208" s="13" t="s">
        <v>607</v>
      </c>
      <c r="E208" s="13" t="s">
        <v>539</v>
      </c>
      <c r="G208" s="13">
        <v>6600.0</v>
      </c>
      <c r="H208" s="13">
        <v>5200.0</v>
      </c>
    </row>
    <row r="209">
      <c r="D209" s="13" t="s">
        <v>660</v>
      </c>
      <c r="E209" s="13">
        <v>2.0</v>
      </c>
      <c r="F209" s="13">
        <v>1000.0</v>
      </c>
      <c r="G209" s="13">
        <v>2000.0</v>
      </c>
      <c r="H209" s="13">
        <v>570.0</v>
      </c>
    </row>
    <row r="210">
      <c r="D210" s="13" t="s">
        <v>661</v>
      </c>
      <c r="E210" s="13">
        <v>1.0</v>
      </c>
      <c r="F210" s="13">
        <v>1000.0</v>
      </c>
      <c r="G210" s="13">
        <v>1000.0</v>
      </c>
      <c r="H210" s="13">
        <v>570.0</v>
      </c>
    </row>
    <row r="211">
      <c r="D211" s="13" t="s">
        <v>662</v>
      </c>
      <c r="E211" s="13">
        <v>1.0</v>
      </c>
      <c r="F211" s="13">
        <v>1000.0</v>
      </c>
      <c r="G211" s="13">
        <v>1000.0</v>
      </c>
      <c r="H211" s="13">
        <v>570.0</v>
      </c>
    </row>
    <row r="213">
      <c r="C213" s="79" t="s">
        <v>495</v>
      </c>
      <c r="D213" s="13" t="s">
        <v>663</v>
      </c>
      <c r="E213" s="13" t="s">
        <v>429</v>
      </c>
      <c r="F213" s="13">
        <v>6700.0</v>
      </c>
      <c r="G213" s="32">
        <f>F213*2</f>
        <v>13400</v>
      </c>
      <c r="H213" s="32">
        <f>6200*2</f>
        <v>12400</v>
      </c>
      <c r="I213" s="13" t="s">
        <v>521</v>
      </c>
    </row>
    <row r="215">
      <c r="A215" s="13" t="s">
        <v>654</v>
      </c>
      <c r="B215" s="13"/>
      <c r="C215" s="79" t="s">
        <v>664</v>
      </c>
      <c r="D215" s="13" t="s">
        <v>665</v>
      </c>
      <c r="E215" s="13" t="s">
        <v>426</v>
      </c>
      <c r="F215" s="13">
        <v>3000.0</v>
      </c>
      <c r="G215" s="13">
        <v>3000.0</v>
      </c>
      <c r="H215" s="13">
        <v>2500.0</v>
      </c>
      <c r="I215" s="13" t="s">
        <v>666</v>
      </c>
    </row>
    <row r="216">
      <c r="D216" s="13" t="s">
        <v>667</v>
      </c>
      <c r="E216" s="13" t="s">
        <v>426</v>
      </c>
      <c r="F216" s="13">
        <v>5700.0</v>
      </c>
      <c r="G216" s="13">
        <v>5700.0</v>
      </c>
      <c r="H216" s="13">
        <v>4700.0</v>
      </c>
    </row>
    <row r="217">
      <c r="D217" s="13" t="s">
        <v>668</v>
      </c>
      <c r="E217" s="13" t="s">
        <v>426</v>
      </c>
      <c r="F217" s="13">
        <v>3000.0</v>
      </c>
      <c r="G217" s="13">
        <v>3000.0</v>
      </c>
      <c r="H217" s="13">
        <v>2600.0</v>
      </c>
    </row>
    <row r="218">
      <c r="D218" s="13" t="s">
        <v>564</v>
      </c>
      <c r="E218" s="13" t="s">
        <v>426</v>
      </c>
      <c r="F218" s="13">
        <v>6900.0</v>
      </c>
      <c r="G218" s="13">
        <v>6900.0</v>
      </c>
      <c r="H218" s="13">
        <v>6400.0</v>
      </c>
    </row>
    <row r="220">
      <c r="A220" s="13" t="s">
        <v>654</v>
      </c>
      <c r="B220" s="13"/>
      <c r="C220" s="79" t="s">
        <v>497</v>
      </c>
      <c r="D220" s="13" t="s">
        <v>669</v>
      </c>
      <c r="E220" s="13" t="s">
        <v>670</v>
      </c>
      <c r="G220" s="13">
        <v>61800.0</v>
      </c>
      <c r="H220" s="32">
        <f>14600*3</f>
        <v>43800</v>
      </c>
      <c r="I220" s="13" t="s">
        <v>541</v>
      </c>
    </row>
    <row r="221">
      <c r="D221" s="13" t="s">
        <v>551</v>
      </c>
      <c r="E221" s="13" t="s">
        <v>426</v>
      </c>
      <c r="G221" s="13">
        <v>17700.0</v>
      </c>
      <c r="H221" s="13">
        <v>16400.0</v>
      </c>
    </row>
    <row r="222">
      <c r="D222" s="13" t="s">
        <v>671</v>
      </c>
      <c r="E222" s="13" t="s">
        <v>426</v>
      </c>
      <c r="G222" s="13">
        <v>3000.0</v>
      </c>
      <c r="H222" s="13">
        <v>2500.0</v>
      </c>
    </row>
    <row r="223">
      <c r="D223" s="13" t="s">
        <v>672</v>
      </c>
      <c r="E223" s="13" t="s">
        <v>429</v>
      </c>
      <c r="H223" s="13">
        <v>28400.0</v>
      </c>
    </row>
    <row r="224">
      <c r="D224" s="13" t="s">
        <v>673</v>
      </c>
      <c r="E224" s="13" t="s">
        <v>426</v>
      </c>
      <c r="G224" s="13">
        <v>24000.0</v>
      </c>
      <c r="H224" s="13">
        <v>20000.0</v>
      </c>
    </row>
    <row r="226">
      <c r="A226" s="13" t="s">
        <v>654</v>
      </c>
      <c r="B226" s="13"/>
      <c r="C226" s="79" t="s">
        <v>674</v>
      </c>
      <c r="D226" s="13" t="s">
        <v>675</v>
      </c>
      <c r="E226" s="13" t="s">
        <v>528</v>
      </c>
      <c r="F226" s="13">
        <v>2400.0</v>
      </c>
      <c r="G226" s="32">
        <f>2400*2</f>
        <v>4800</v>
      </c>
    </row>
    <row r="227">
      <c r="A227" s="13" t="s">
        <v>654</v>
      </c>
      <c r="B227" s="13"/>
      <c r="C227" s="80" t="s">
        <v>454</v>
      </c>
      <c r="D227" s="13" t="s">
        <v>676</v>
      </c>
      <c r="E227" s="13">
        <v>1.0</v>
      </c>
      <c r="G227" s="13">
        <v>3000.0</v>
      </c>
      <c r="H227" s="13">
        <v>2220.0</v>
      </c>
      <c r="I227" s="13" t="s">
        <v>541</v>
      </c>
    </row>
    <row r="228">
      <c r="D228" s="13" t="s">
        <v>677</v>
      </c>
      <c r="E228" s="13" t="s">
        <v>426</v>
      </c>
      <c r="G228" s="13">
        <v>3000.0</v>
      </c>
      <c r="H228" s="13">
        <v>2500.0</v>
      </c>
      <c r="I228" s="13" t="s">
        <v>521</v>
      </c>
    </row>
    <row r="229">
      <c r="D229" s="13" t="s">
        <v>675</v>
      </c>
      <c r="E229" s="13" t="s">
        <v>426</v>
      </c>
      <c r="G229" s="13">
        <v>1900.0</v>
      </c>
    </row>
    <row r="230">
      <c r="D230" s="13" t="s">
        <v>678</v>
      </c>
      <c r="E230" s="13" t="s">
        <v>426</v>
      </c>
      <c r="G230" s="13">
        <v>6900.0</v>
      </c>
      <c r="H230" s="13">
        <v>6400.0</v>
      </c>
    </row>
    <row r="231">
      <c r="A231" s="13" t="s">
        <v>654</v>
      </c>
      <c r="B231" s="13"/>
      <c r="C231" s="79" t="s">
        <v>679</v>
      </c>
      <c r="D231" s="13" t="s">
        <v>680</v>
      </c>
      <c r="E231" s="13">
        <v>1.0</v>
      </c>
      <c r="G231" s="13">
        <v>4200.0</v>
      </c>
      <c r="H231" s="13">
        <v>4200.0</v>
      </c>
      <c r="I231" s="13" t="s">
        <v>681</v>
      </c>
    </row>
    <row r="232">
      <c r="D232" s="13" t="s">
        <v>682</v>
      </c>
      <c r="E232" s="13">
        <v>1.0</v>
      </c>
      <c r="G232" s="13">
        <v>600.0</v>
      </c>
      <c r="H232" s="13">
        <v>600.0</v>
      </c>
    </row>
    <row r="233">
      <c r="D233" s="13" t="s">
        <v>683</v>
      </c>
      <c r="E233" s="13">
        <v>1.0</v>
      </c>
      <c r="G233" s="13">
        <v>570.0</v>
      </c>
      <c r="H233" s="13">
        <v>570.0</v>
      </c>
    </row>
    <row r="234">
      <c r="D234" s="13" t="s">
        <v>684</v>
      </c>
      <c r="E234" s="13" t="s">
        <v>426</v>
      </c>
      <c r="G234" s="13">
        <v>5680.0</v>
      </c>
    </row>
    <row r="235">
      <c r="D235" s="13" t="s">
        <v>685</v>
      </c>
      <c r="E235" s="13">
        <v>1.0</v>
      </c>
      <c r="G235" s="13">
        <v>3300.0</v>
      </c>
      <c r="H235" s="13">
        <v>3300.0</v>
      </c>
    </row>
    <row r="236">
      <c r="D236" s="13" t="s">
        <v>686</v>
      </c>
      <c r="E236" s="13" t="s">
        <v>426</v>
      </c>
      <c r="H236" s="13">
        <v>2000.0</v>
      </c>
    </row>
    <row r="238">
      <c r="A238" s="13" t="s">
        <v>521</v>
      </c>
      <c r="B238" s="13"/>
      <c r="C238" s="79" t="s">
        <v>498</v>
      </c>
      <c r="D238" s="13" t="s">
        <v>687</v>
      </c>
      <c r="E238" s="13" t="s">
        <v>426</v>
      </c>
      <c r="F238" s="13">
        <v>3000.0</v>
      </c>
      <c r="G238" s="13">
        <v>3000.0</v>
      </c>
      <c r="H238" s="13">
        <v>2600.0</v>
      </c>
      <c r="I238" s="13" t="s">
        <v>521</v>
      </c>
    </row>
    <row r="239">
      <c r="D239" s="13" t="s">
        <v>688</v>
      </c>
      <c r="E239" s="13" t="s">
        <v>426</v>
      </c>
      <c r="F239" s="13">
        <v>6700.0</v>
      </c>
      <c r="G239" s="13">
        <v>6700.0</v>
      </c>
      <c r="H239" s="13">
        <v>6200.0</v>
      </c>
    </row>
    <row r="241">
      <c r="C241" s="79" t="s">
        <v>499</v>
      </c>
      <c r="D241" s="13" t="s">
        <v>689</v>
      </c>
      <c r="E241" s="13" t="s">
        <v>426</v>
      </c>
      <c r="F241" s="13">
        <v>5000.0</v>
      </c>
      <c r="G241" s="13">
        <v>5000.0</v>
      </c>
      <c r="H241" s="13">
        <v>3200.0</v>
      </c>
      <c r="I241" s="13" t="s">
        <v>521</v>
      </c>
    </row>
    <row r="242">
      <c r="D242" s="13" t="s">
        <v>690</v>
      </c>
      <c r="E242" s="13" t="s">
        <v>426</v>
      </c>
      <c r="F242" s="13">
        <v>5400.0</v>
      </c>
      <c r="G242" s="13">
        <v>5400.0</v>
      </c>
      <c r="H242" s="13">
        <v>4700.0</v>
      </c>
    </row>
    <row r="243">
      <c r="D243" s="13" t="s">
        <v>691</v>
      </c>
      <c r="E243" s="13" t="s">
        <v>692</v>
      </c>
      <c r="F243" s="13">
        <v>6000.0</v>
      </c>
      <c r="G243" s="13">
        <v>6000.0</v>
      </c>
      <c r="H243" s="13">
        <v>5000.0</v>
      </c>
    </row>
    <row r="245">
      <c r="C245" s="79" t="s">
        <v>466</v>
      </c>
      <c r="D245" s="13" t="s">
        <v>558</v>
      </c>
      <c r="E245" s="13" t="s">
        <v>693</v>
      </c>
      <c r="G245" s="13">
        <v>4000.0</v>
      </c>
      <c r="H245" s="13">
        <v>3600.0</v>
      </c>
      <c r="I245" s="13" t="s">
        <v>521</v>
      </c>
    </row>
    <row r="246">
      <c r="D246" s="13" t="s">
        <v>630</v>
      </c>
      <c r="E246" s="13" t="s">
        <v>539</v>
      </c>
      <c r="J246" s="13">
        <v>22790.0</v>
      </c>
    </row>
    <row r="248">
      <c r="A248" s="81" t="s">
        <v>694</v>
      </c>
      <c r="B248" s="81"/>
    </row>
    <row r="249">
      <c r="A249" s="13" t="s">
        <v>695</v>
      </c>
      <c r="B249" s="13"/>
      <c r="C249" s="79" t="s">
        <v>696</v>
      </c>
      <c r="D249" s="13" t="s">
        <v>697</v>
      </c>
      <c r="E249" s="13">
        <v>2.0</v>
      </c>
      <c r="F249" s="13">
        <v>5000.0</v>
      </c>
      <c r="G249" s="13">
        <v>10000.0</v>
      </c>
      <c r="H249" s="13">
        <v>6400.0</v>
      </c>
    </row>
    <row r="250">
      <c r="D250" s="13" t="s">
        <v>698</v>
      </c>
      <c r="E250" s="13">
        <v>1.0</v>
      </c>
      <c r="F250" s="13">
        <v>2500.0</v>
      </c>
      <c r="G250" s="13">
        <v>2500.0</v>
      </c>
      <c r="H250" s="13">
        <v>1900.0</v>
      </c>
    </row>
    <row r="251">
      <c r="D251" s="13" t="s">
        <v>699</v>
      </c>
      <c r="E251" s="13">
        <v>2.0</v>
      </c>
      <c r="F251" s="13">
        <v>1100.0</v>
      </c>
      <c r="G251" s="13">
        <v>2200.0</v>
      </c>
    </row>
    <row r="252">
      <c r="D252" s="13" t="s">
        <v>700</v>
      </c>
      <c r="E252" s="13">
        <v>5.0</v>
      </c>
      <c r="F252" s="13">
        <v>1000.0</v>
      </c>
      <c r="G252" s="13">
        <v>5000.0</v>
      </c>
      <c r="H252" s="13">
        <v>2850.0</v>
      </c>
    </row>
    <row r="253">
      <c r="D253" s="14" t="s">
        <v>701</v>
      </c>
      <c r="E253" s="13">
        <v>1.0</v>
      </c>
      <c r="F253" s="13">
        <v>4000.0</v>
      </c>
      <c r="G253" s="13">
        <v>4000.0</v>
      </c>
      <c r="H253" s="13">
        <v>3300.0</v>
      </c>
    </row>
    <row r="254">
      <c r="D254" s="14" t="s">
        <v>702</v>
      </c>
      <c r="E254" s="13">
        <v>2.0</v>
      </c>
      <c r="F254" s="13">
        <v>1000.0</v>
      </c>
      <c r="G254" s="13">
        <v>2000.0</v>
      </c>
      <c r="H254" s="13">
        <v>1140.0</v>
      </c>
    </row>
    <row r="255">
      <c r="D255" s="14" t="s">
        <v>703</v>
      </c>
      <c r="E255" s="13">
        <v>2.0</v>
      </c>
      <c r="F255" s="13">
        <v>1000.0</v>
      </c>
      <c r="G255" s="13">
        <v>2000.0</v>
      </c>
      <c r="H255" s="13">
        <v>1140.0</v>
      </c>
    </row>
    <row r="256">
      <c r="D256" s="14" t="s">
        <v>704</v>
      </c>
      <c r="E256" s="13">
        <v>1.0</v>
      </c>
      <c r="F256" s="13">
        <v>3500.0</v>
      </c>
      <c r="G256" s="13">
        <v>3500.0</v>
      </c>
      <c r="H256" s="13">
        <v>2400.0</v>
      </c>
    </row>
    <row r="257">
      <c r="D257" s="14" t="s">
        <v>687</v>
      </c>
      <c r="E257" s="13">
        <v>1.0</v>
      </c>
      <c r="F257" s="13">
        <v>3200.0</v>
      </c>
      <c r="G257" s="13">
        <v>3200.0</v>
      </c>
      <c r="H257" s="13">
        <v>2900.0</v>
      </c>
    </row>
    <row r="258">
      <c r="D258" s="14" t="s">
        <v>705</v>
      </c>
      <c r="E258" s="13">
        <v>1.0</v>
      </c>
      <c r="F258" s="13">
        <v>3000.0</v>
      </c>
      <c r="G258" s="13">
        <v>3000.0</v>
      </c>
      <c r="H258" s="13">
        <v>2220.0</v>
      </c>
    </row>
    <row r="259">
      <c r="D259" s="14" t="s">
        <v>706</v>
      </c>
      <c r="E259" s="13">
        <v>1.0</v>
      </c>
      <c r="F259" s="13">
        <v>3000.0</v>
      </c>
      <c r="G259" s="13">
        <v>3000.0</v>
      </c>
      <c r="H259" s="13">
        <v>2220.0</v>
      </c>
    </row>
    <row r="260">
      <c r="C260" s="14"/>
      <c r="D260" s="14"/>
      <c r="E260" s="13"/>
      <c r="F260" s="13"/>
    </row>
    <row r="261">
      <c r="C261" s="79" t="s">
        <v>707</v>
      </c>
      <c r="D261" s="14" t="s">
        <v>708</v>
      </c>
      <c r="E261" s="13">
        <v>1.0</v>
      </c>
      <c r="F261" s="13">
        <v>1000.0</v>
      </c>
      <c r="G261" s="13">
        <v>1000.0</v>
      </c>
      <c r="H261" s="13">
        <v>570.0</v>
      </c>
    </row>
    <row r="262">
      <c r="D262" s="14" t="s">
        <v>709</v>
      </c>
      <c r="E262" s="13" t="s">
        <v>426</v>
      </c>
      <c r="F262" s="13">
        <v>20600.0</v>
      </c>
      <c r="G262" s="13">
        <v>20600.0</v>
      </c>
      <c r="H262" s="13">
        <v>14600.0</v>
      </c>
    </row>
    <row r="263">
      <c r="D263" s="13" t="s">
        <v>555</v>
      </c>
      <c r="E263" s="13" t="s">
        <v>426</v>
      </c>
      <c r="F263" s="13">
        <v>4000.0</v>
      </c>
      <c r="G263" s="13">
        <v>4000.0</v>
      </c>
      <c r="H263" s="13">
        <v>3400.0</v>
      </c>
    </row>
    <row r="264">
      <c r="D264" s="13" t="s">
        <v>710</v>
      </c>
      <c r="E264" s="13">
        <v>1.0</v>
      </c>
      <c r="F264" s="13">
        <v>3600.0</v>
      </c>
      <c r="G264" s="13">
        <v>3600.0</v>
      </c>
      <c r="H264" s="13">
        <v>2970.0</v>
      </c>
    </row>
    <row r="265">
      <c r="D265" s="13" t="s">
        <v>552</v>
      </c>
      <c r="E265" s="13" t="s">
        <v>426</v>
      </c>
      <c r="F265" s="13">
        <v>7700.0</v>
      </c>
      <c r="G265" s="13">
        <v>7700.0</v>
      </c>
      <c r="H265" s="13">
        <v>6000.0</v>
      </c>
    </row>
    <row r="266">
      <c r="D266" s="13" t="s">
        <v>632</v>
      </c>
      <c r="E266" s="13" t="s">
        <v>539</v>
      </c>
      <c r="F266" s="13">
        <v>2500.0</v>
      </c>
      <c r="G266" s="13">
        <v>2500.0</v>
      </c>
      <c r="H266" s="13">
        <v>2000.0</v>
      </c>
    </row>
    <row r="267">
      <c r="D267" s="13" t="s">
        <v>711</v>
      </c>
      <c r="E267" s="13">
        <v>1.0</v>
      </c>
      <c r="F267" s="13">
        <v>1000.0</v>
      </c>
      <c r="G267" s="13">
        <v>1000.0</v>
      </c>
      <c r="H267" s="13">
        <v>570.0</v>
      </c>
    </row>
    <row r="268">
      <c r="D268" s="13" t="s">
        <v>712</v>
      </c>
      <c r="E268" s="13">
        <v>1.0</v>
      </c>
      <c r="F268" s="13">
        <v>1500.0</v>
      </c>
      <c r="G268" s="13">
        <v>1500.0</v>
      </c>
      <c r="H268" s="13">
        <v>1150.0</v>
      </c>
    </row>
    <row r="269">
      <c r="D269" s="13" t="s">
        <v>585</v>
      </c>
      <c r="E269" s="13">
        <v>1.0</v>
      </c>
      <c r="F269" s="13">
        <v>3000.0</v>
      </c>
      <c r="G269" s="13">
        <v>3000.0</v>
      </c>
      <c r="H269" s="13">
        <v>2500.0</v>
      </c>
    </row>
    <row r="271">
      <c r="C271" s="79" t="s">
        <v>494</v>
      </c>
      <c r="D271" s="13" t="s">
        <v>713</v>
      </c>
      <c r="E271" s="13" t="s">
        <v>426</v>
      </c>
      <c r="F271" s="13">
        <v>2500.0</v>
      </c>
      <c r="G271" s="13">
        <v>2500.0</v>
      </c>
      <c r="H271" s="13">
        <v>2000.0</v>
      </c>
      <c r="I271" s="13" t="s">
        <v>521</v>
      </c>
    </row>
    <row r="272">
      <c r="D272" s="13" t="s">
        <v>606</v>
      </c>
      <c r="E272" s="13" t="s">
        <v>426</v>
      </c>
      <c r="F272" s="13">
        <v>5700.0</v>
      </c>
      <c r="G272" s="13">
        <v>5700.0</v>
      </c>
      <c r="H272" s="13">
        <v>4700.0</v>
      </c>
    </row>
    <row r="275">
      <c r="A275" s="13" t="s">
        <v>654</v>
      </c>
      <c r="B275" s="13"/>
      <c r="C275" s="79" t="s">
        <v>714</v>
      </c>
      <c r="D275" s="13" t="s">
        <v>715</v>
      </c>
      <c r="E275" s="13" t="s">
        <v>426</v>
      </c>
      <c r="G275" s="13">
        <v>2000.0</v>
      </c>
      <c r="H275" s="13">
        <v>2000.0</v>
      </c>
      <c r="I275" s="13" t="s">
        <v>521</v>
      </c>
    </row>
    <row r="276">
      <c r="D276" s="13" t="s">
        <v>716</v>
      </c>
      <c r="E276" s="13" t="s">
        <v>426</v>
      </c>
      <c r="G276" s="13">
        <v>5200.0</v>
      </c>
      <c r="H276" s="13">
        <v>5200.0</v>
      </c>
    </row>
    <row r="277">
      <c r="D277" s="13" t="s">
        <v>717</v>
      </c>
      <c r="E277" s="13">
        <v>3.0</v>
      </c>
      <c r="G277" s="13">
        <v>1800.0</v>
      </c>
      <c r="H277" s="13">
        <v>1800.0</v>
      </c>
    </row>
    <row r="278">
      <c r="D278" s="13" t="s">
        <v>444</v>
      </c>
      <c r="E278" s="13" t="s">
        <v>426</v>
      </c>
      <c r="G278" s="13">
        <v>8200.0</v>
      </c>
      <c r="H278" s="13">
        <v>8200.0</v>
      </c>
    </row>
    <row r="279">
      <c r="D279" s="13" t="s">
        <v>630</v>
      </c>
      <c r="E279" s="13" t="s">
        <v>426</v>
      </c>
      <c r="G279" s="13">
        <v>5160.0</v>
      </c>
      <c r="H279" s="13">
        <v>5160.0</v>
      </c>
    </row>
    <row r="281">
      <c r="A281" s="13" t="s">
        <v>654</v>
      </c>
      <c r="B281" s="13"/>
      <c r="C281" s="79" t="s">
        <v>482</v>
      </c>
      <c r="D281" s="13" t="s">
        <v>718</v>
      </c>
      <c r="E281" s="13">
        <v>1.0</v>
      </c>
      <c r="F281" s="13">
        <v>1000.0</v>
      </c>
      <c r="G281" s="13">
        <v>1000.0</v>
      </c>
      <c r="H281" s="13">
        <v>570.0</v>
      </c>
    </row>
    <row r="282">
      <c r="D282" s="13" t="s">
        <v>624</v>
      </c>
      <c r="E282" s="13" t="s">
        <v>426</v>
      </c>
      <c r="F282" s="13">
        <v>4200.0</v>
      </c>
      <c r="G282" s="13">
        <v>4200.0</v>
      </c>
      <c r="H282" s="13">
        <v>3600.0</v>
      </c>
    </row>
    <row r="283">
      <c r="D283" s="13" t="s">
        <v>719</v>
      </c>
      <c r="E283" s="13">
        <v>1.0</v>
      </c>
      <c r="F283" s="13">
        <v>2800.0</v>
      </c>
      <c r="G283" s="13">
        <v>2800.0</v>
      </c>
      <c r="H283" s="13">
        <v>2310.0</v>
      </c>
    </row>
    <row r="285">
      <c r="C285" s="79" t="s">
        <v>720</v>
      </c>
      <c r="D285" s="13" t="s">
        <v>551</v>
      </c>
      <c r="E285" s="13" t="s">
        <v>426</v>
      </c>
      <c r="G285" s="13">
        <v>16400.0</v>
      </c>
      <c r="H285" s="13">
        <v>16400.0</v>
      </c>
    </row>
    <row r="286">
      <c r="D286" s="13" t="s">
        <v>598</v>
      </c>
      <c r="E286" s="13" t="s">
        <v>426</v>
      </c>
      <c r="G286" s="13">
        <v>15800.0</v>
      </c>
      <c r="H286" s="13">
        <v>15800.0</v>
      </c>
    </row>
    <row r="287">
      <c r="D287" s="13" t="s">
        <v>549</v>
      </c>
      <c r="E287" s="13" t="s">
        <v>426</v>
      </c>
      <c r="G287" s="13">
        <v>14600.0</v>
      </c>
      <c r="H287" s="13">
        <v>14600.0</v>
      </c>
    </row>
    <row r="288">
      <c r="D288" s="13" t="s">
        <v>630</v>
      </c>
      <c r="E288" s="13">
        <v>1.0</v>
      </c>
      <c r="G288" s="13">
        <v>5160.0</v>
      </c>
      <c r="H288" s="13">
        <v>5160.0</v>
      </c>
    </row>
    <row r="290">
      <c r="C290" s="79" t="s">
        <v>466</v>
      </c>
      <c r="D290" s="13" t="s">
        <v>597</v>
      </c>
      <c r="E290" s="13" t="s">
        <v>426</v>
      </c>
      <c r="G290" s="13">
        <v>7000.0</v>
      </c>
      <c r="H290" s="13">
        <v>5160.0</v>
      </c>
      <c r="I290" s="13" t="s">
        <v>521</v>
      </c>
    </row>
    <row r="292">
      <c r="C292" s="79" t="s">
        <v>721</v>
      </c>
      <c r="D292" s="13" t="s">
        <v>597</v>
      </c>
      <c r="E292" s="13" t="s">
        <v>429</v>
      </c>
      <c r="G292" s="13">
        <v>14000.0</v>
      </c>
      <c r="H292" s="13">
        <v>10320.0</v>
      </c>
    </row>
    <row r="293">
      <c r="I293" s="13">
        <v>33610.0</v>
      </c>
    </row>
    <row r="295">
      <c r="A295" s="81" t="s">
        <v>722</v>
      </c>
      <c r="B295" s="81"/>
    </row>
    <row r="296">
      <c r="A296" s="13" t="s">
        <v>521</v>
      </c>
      <c r="B296" s="13"/>
      <c r="C296" s="79" t="s">
        <v>482</v>
      </c>
      <c r="D296" s="13" t="s">
        <v>723</v>
      </c>
      <c r="E296" s="13" t="s">
        <v>426</v>
      </c>
      <c r="F296" s="13">
        <v>6400.0</v>
      </c>
      <c r="G296" s="19">
        <v>6400.0</v>
      </c>
    </row>
    <row r="297">
      <c r="D297" s="13" t="s">
        <v>565</v>
      </c>
      <c r="E297" s="13" t="s">
        <v>724</v>
      </c>
      <c r="F297" s="13">
        <v>4200.0</v>
      </c>
      <c r="G297" s="19">
        <v>12600.0</v>
      </c>
    </row>
    <row r="300">
      <c r="A300" s="13" t="s">
        <v>521</v>
      </c>
      <c r="B300" s="13"/>
      <c r="C300" s="79" t="s">
        <v>501</v>
      </c>
      <c r="D300" s="13" t="s">
        <v>725</v>
      </c>
      <c r="E300" s="13" t="s">
        <v>426</v>
      </c>
      <c r="F300" s="19">
        <v>18000.0</v>
      </c>
      <c r="G300" s="19">
        <v>18000.0</v>
      </c>
    </row>
    <row r="301">
      <c r="D301" s="13" t="s">
        <v>726</v>
      </c>
      <c r="E301" s="13" t="s">
        <v>727</v>
      </c>
      <c r="F301" s="19">
        <v>3300.0</v>
      </c>
      <c r="G301" s="19">
        <v>3300.0</v>
      </c>
    </row>
    <row r="304">
      <c r="C304" s="79" t="s">
        <v>478</v>
      </c>
      <c r="D304" s="13" t="s">
        <v>728</v>
      </c>
      <c r="E304" s="13" t="s">
        <v>426</v>
      </c>
      <c r="F304" s="19">
        <v>18000.0</v>
      </c>
      <c r="G304" s="19">
        <v>18000.0</v>
      </c>
    </row>
    <row r="305">
      <c r="D305" s="13" t="s">
        <v>729</v>
      </c>
      <c r="E305" s="13">
        <v>1.0</v>
      </c>
      <c r="F305" s="19">
        <v>6000.0</v>
      </c>
      <c r="G305" s="19">
        <v>6000.0</v>
      </c>
    </row>
    <row r="308">
      <c r="A308" s="13" t="s">
        <v>521</v>
      </c>
      <c r="B308" s="13"/>
      <c r="C308" s="79" t="s">
        <v>730</v>
      </c>
      <c r="D308" s="13" t="s">
        <v>731</v>
      </c>
      <c r="E308" s="13" t="s">
        <v>426</v>
      </c>
      <c r="F308" s="13">
        <v>3000.0</v>
      </c>
      <c r="G308" s="13">
        <v>3000.0</v>
      </c>
    </row>
    <row r="309">
      <c r="D309" s="13" t="s">
        <v>732</v>
      </c>
      <c r="E309" s="13" t="s">
        <v>426</v>
      </c>
      <c r="F309" s="13">
        <v>12000.0</v>
      </c>
      <c r="G309" s="13">
        <v>12000.0</v>
      </c>
    </row>
    <row r="312">
      <c r="A312" s="13" t="s">
        <v>521</v>
      </c>
      <c r="B312" s="13"/>
      <c r="C312" s="79" t="s">
        <v>733</v>
      </c>
      <c r="D312" s="13" t="s">
        <v>734</v>
      </c>
      <c r="E312" s="13" t="s">
        <v>426</v>
      </c>
      <c r="F312" s="19">
        <v>18000.0</v>
      </c>
      <c r="G312" s="19">
        <v>18000.0</v>
      </c>
    </row>
    <row r="313">
      <c r="D313" s="13" t="s">
        <v>565</v>
      </c>
      <c r="E313" s="13" t="s">
        <v>426</v>
      </c>
      <c r="F313" s="19">
        <v>4200.0</v>
      </c>
      <c r="G313" s="19">
        <v>4200.0</v>
      </c>
    </row>
    <row r="314">
      <c r="D314" s="13" t="s">
        <v>735</v>
      </c>
      <c r="E314" s="13" t="s">
        <v>426</v>
      </c>
      <c r="F314" s="19">
        <v>5700.0</v>
      </c>
      <c r="G314" s="19">
        <v>5700.0</v>
      </c>
    </row>
    <row r="315">
      <c r="D315" s="13" t="s">
        <v>655</v>
      </c>
      <c r="E315" s="13" t="s">
        <v>727</v>
      </c>
      <c r="F315" s="19">
        <v>3000.0</v>
      </c>
      <c r="G315" s="19">
        <v>3000.0</v>
      </c>
    </row>
    <row r="316">
      <c r="D316" s="13" t="s">
        <v>665</v>
      </c>
      <c r="E316" s="13" t="s">
        <v>426</v>
      </c>
      <c r="F316" s="19">
        <v>3000.0</v>
      </c>
      <c r="G316" s="19">
        <v>3000.0</v>
      </c>
    </row>
    <row r="318">
      <c r="C318" s="79" t="s">
        <v>736</v>
      </c>
      <c r="D318" s="13" t="s">
        <v>577</v>
      </c>
      <c r="E318" s="13" t="s">
        <v>426</v>
      </c>
      <c r="F318" s="13">
        <v>18000.0</v>
      </c>
      <c r="G318" s="13">
        <v>18000.0</v>
      </c>
      <c r="I318" s="13" t="s">
        <v>645</v>
      </c>
    </row>
    <row r="320">
      <c r="C320" s="79" t="s">
        <v>737</v>
      </c>
      <c r="D320" s="13" t="s">
        <v>550</v>
      </c>
      <c r="E320" s="13">
        <v>1.0</v>
      </c>
      <c r="F320" s="13">
        <v>12300.0</v>
      </c>
      <c r="G320" s="13">
        <v>12300.0</v>
      </c>
    </row>
    <row r="321">
      <c r="D321" s="13" t="s">
        <v>444</v>
      </c>
      <c r="E321" s="13">
        <v>1.0</v>
      </c>
      <c r="F321" s="13">
        <v>8200.0</v>
      </c>
      <c r="G321" s="13">
        <v>8200.0</v>
      </c>
      <c r="J321" s="13">
        <v>18100.0</v>
      </c>
    </row>
    <row r="323">
      <c r="A323" s="78">
        <v>45795.0</v>
      </c>
      <c r="B323" s="78"/>
    </row>
    <row r="324">
      <c r="A324" s="13" t="s">
        <v>521</v>
      </c>
      <c r="B324" s="13"/>
      <c r="C324" s="79" t="s">
        <v>500</v>
      </c>
      <c r="D324" s="13" t="s">
        <v>606</v>
      </c>
      <c r="E324" s="13" t="s">
        <v>429</v>
      </c>
      <c r="F324" s="13">
        <v>5700.0</v>
      </c>
      <c r="G324" s="19">
        <v>11400.0</v>
      </c>
      <c r="H324" s="13" t="s">
        <v>521</v>
      </c>
    </row>
    <row r="325">
      <c r="D325" s="13" t="s">
        <v>549</v>
      </c>
      <c r="E325" s="13" t="s">
        <v>426</v>
      </c>
      <c r="F325" s="19">
        <v>20600.0</v>
      </c>
      <c r="G325" s="19">
        <v>20600.0</v>
      </c>
    </row>
    <row r="328">
      <c r="A328" s="13" t="s">
        <v>521</v>
      </c>
      <c r="B328" s="13"/>
      <c r="C328" s="79" t="s">
        <v>502</v>
      </c>
      <c r="D328" s="13" t="s">
        <v>738</v>
      </c>
      <c r="E328" s="13" t="s">
        <v>429</v>
      </c>
      <c r="F328" s="13">
        <v>4200.0</v>
      </c>
      <c r="G328" s="19">
        <v>8400.0</v>
      </c>
      <c r="I328" s="13" t="s">
        <v>645</v>
      </c>
    </row>
    <row r="329">
      <c r="D329" s="13" t="s">
        <v>739</v>
      </c>
      <c r="E329" s="13" t="s">
        <v>426</v>
      </c>
      <c r="F329" s="19">
        <v>18000.0</v>
      </c>
      <c r="G329" s="19">
        <v>18000.0</v>
      </c>
    </row>
    <row r="330">
      <c r="D330" s="13" t="s">
        <v>740</v>
      </c>
      <c r="E330" s="13" t="s">
        <v>426</v>
      </c>
      <c r="F330" s="13">
        <v>2500.0</v>
      </c>
      <c r="G330" s="13">
        <v>2500.0</v>
      </c>
    </row>
    <row r="332">
      <c r="C332" s="79" t="s">
        <v>741</v>
      </c>
      <c r="D332" s="13" t="s">
        <v>558</v>
      </c>
      <c r="E332" s="13" t="s">
        <v>426</v>
      </c>
      <c r="F332" s="13">
        <v>4200.0</v>
      </c>
      <c r="G332" s="13">
        <v>4200.0</v>
      </c>
      <c r="I332" s="13" t="s">
        <v>521</v>
      </c>
    </row>
    <row r="334">
      <c r="C334" s="79" t="s">
        <v>457</v>
      </c>
      <c r="D334" s="13" t="s">
        <v>742</v>
      </c>
      <c r="E334" s="13" t="s">
        <v>426</v>
      </c>
      <c r="F334" s="13">
        <v>13200.0</v>
      </c>
      <c r="G334" s="13">
        <v>13200.0</v>
      </c>
      <c r="H334" s="13">
        <v>11000.0</v>
      </c>
      <c r="I334" s="13" t="s">
        <v>521</v>
      </c>
    </row>
    <row r="335">
      <c r="D335" s="13" t="s">
        <v>444</v>
      </c>
      <c r="E335" s="13" t="s">
        <v>539</v>
      </c>
      <c r="F335" s="13">
        <v>10500.0</v>
      </c>
      <c r="G335" s="13">
        <v>10500.0</v>
      </c>
      <c r="H335" s="13">
        <v>8200.0</v>
      </c>
    </row>
    <row r="336">
      <c r="D336" s="13" t="s">
        <v>606</v>
      </c>
      <c r="E336" s="13" t="s">
        <v>426</v>
      </c>
      <c r="F336" s="13">
        <v>5700.0</v>
      </c>
      <c r="G336" s="13">
        <v>5700.0</v>
      </c>
      <c r="H336" s="13">
        <v>4700.0</v>
      </c>
    </row>
    <row r="337">
      <c r="D337" s="13" t="s">
        <v>598</v>
      </c>
      <c r="E337" s="13" t="s">
        <v>539</v>
      </c>
      <c r="F337" s="13">
        <v>18000.0</v>
      </c>
      <c r="G337" s="13">
        <v>18000.0</v>
      </c>
      <c r="H337" s="13">
        <v>15800.0</v>
      </c>
    </row>
    <row r="338">
      <c r="D338" s="13" t="s">
        <v>592</v>
      </c>
      <c r="E338" s="13">
        <v>1.0</v>
      </c>
      <c r="F338" s="13">
        <v>3000.0</v>
      </c>
      <c r="G338" s="13">
        <v>3000.0</v>
      </c>
      <c r="H338" s="13">
        <v>2200.0</v>
      </c>
    </row>
    <row r="340">
      <c r="A340" s="13" t="s">
        <v>743</v>
      </c>
      <c r="B340" s="13"/>
      <c r="C340" s="79" t="s">
        <v>714</v>
      </c>
      <c r="D340" s="13" t="s">
        <v>744</v>
      </c>
      <c r="E340" s="13">
        <v>1.0</v>
      </c>
      <c r="F340" s="13">
        <v>7500.0</v>
      </c>
      <c r="G340" s="13">
        <v>7500.0</v>
      </c>
      <c r="I340" s="13" t="s">
        <v>521</v>
      </c>
    </row>
    <row r="341">
      <c r="D341" s="13" t="s">
        <v>565</v>
      </c>
      <c r="E341" s="13" t="s">
        <v>426</v>
      </c>
      <c r="F341" s="13">
        <v>3600.0</v>
      </c>
      <c r="G341" s="13">
        <v>3600.0</v>
      </c>
    </row>
    <row r="342">
      <c r="D342" s="13" t="s">
        <v>644</v>
      </c>
      <c r="F342" s="13">
        <v>1900.0</v>
      </c>
      <c r="G342" s="13">
        <v>1900.0</v>
      </c>
    </row>
    <row r="344">
      <c r="A344" s="13" t="s">
        <v>521</v>
      </c>
      <c r="B344" s="13"/>
      <c r="C344" s="79" t="s">
        <v>745</v>
      </c>
      <c r="D344" s="13" t="s">
        <v>746</v>
      </c>
      <c r="E344" s="13" t="s">
        <v>426</v>
      </c>
      <c r="F344" s="13">
        <v>6400.0</v>
      </c>
      <c r="G344" s="19">
        <v>6400.0</v>
      </c>
      <c r="I344" s="13" t="s">
        <v>521</v>
      </c>
    </row>
    <row r="347">
      <c r="A347" s="13" t="s">
        <v>747</v>
      </c>
      <c r="B347" s="13"/>
      <c r="C347" s="79" t="s">
        <v>748</v>
      </c>
      <c r="D347" s="13" t="s">
        <v>621</v>
      </c>
      <c r="E347" s="13" t="s">
        <v>426</v>
      </c>
      <c r="F347" s="13">
        <v>3000.0</v>
      </c>
      <c r="G347" s="13">
        <v>3000.0</v>
      </c>
      <c r="I347" s="13" t="s">
        <v>749</v>
      </c>
    </row>
    <row r="348">
      <c r="D348" s="13" t="s">
        <v>750</v>
      </c>
      <c r="E348" s="13" t="s">
        <v>429</v>
      </c>
      <c r="F348" s="13">
        <v>2400.0</v>
      </c>
      <c r="G348" s="13">
        <v>4800.0</v>
      </c>
      <c r="I348" s="13" t="s">
        <v>751</v>
      </c>
    </row>
    <row r="349">
      <c r="D349" s="13" t="s">
        <v>60</v>
      </c>
      <c r="E349" s="13" t="s">
        <v>426</v>
      </c>
      <c r="F349" s="13">
        <v>10500.0</v>
      </c>
      <c r="G349" s="13">
        <v>10500.0</v>
      </c>
    </row>
    <row r="350">
      <c r="D350" s="13" t="s">
        <v>565</v>
      </c>
      <c r="E350" s="13" t="s">
        <v>752</v>
      </c>
      <c r="F350" s="13">
        <v>4200.0</v>
      </c>
      <c r="G350" s="13">
        <v>4200.0</v>
      </c>
    </row>
    <row r="351">
      <c r="D351" s="13" t="s">
        <v>753</v>
      </c>
      <c r="E351" s="13" t="s">
        <v>426</v>
      </c>
      <c r="F351" s="13">
        <v>6400.0</v>
      </c>
      <c r="G351" s="13">
        <v>6400.0</v>
      </c>
    </row>
    <row r="353">
      <c r="C353" s="79" t="s">
        <v>460</v>
      </c>
      <c r="D353" s="13" t="s">
        <v>444</v>
      </c>
      <c r="E353" s="13" t="s">
        <v>426</v>
      </c>
      <c r="F353" s="13">
        <v>10500.0</v>
      </c>
      <c r="G353" s="13">
        <v>10500.0</v>
      </c>
      <c r="I353" s="13" t="s">
        <v>521</v>
      </c>
    </row>
    <row r="354">
      <c r="I354" s="13">
        <v>44300.0</v>
      </c>
    </row>
    <row r="357">
      <c r="A357" s="78">
        <v>45802.0</v>
      </c>
      <c r="B357" s="78"/>
    </row>
    <row r="358">
      <c r="A358" s="13" t="s">
        <v>754</v>
      </c>
      <c r="B358" s="13"/>
      <c r="C358" s="79" t="s">
        <v>755</v>
      </c>
      <c r="D358" s="13" t="s">
        <v>716</v>
      </c>
      <c r="E358" s="13" t="s">
        <v>429</v>
      </c>
      <c r="F358" s="19">
        <v>6600.0</v>
      </c>
      <c r="G358" s="13">
        <v>13200.0</v>
      </c>
    </row>
    <row r="359">
      <c r="D359" s="13" t="s">
        <v>540</v>
      </c>
      <c r="E359" s="13" t="s">
        <v>426</v>
      </c>
      <c r="F359" s="13">
        <v>3000.0</v>
      </c>
      <c r="G359" s="13">
        <v>3000.0</v>
      </c>
    </row>
    <row r="360">
      <c r="D360" s="13" t="s">
        <v>756</v>
      </c>
      <c r="E360" s="13">
        <v>1.0</v>
      </c>
      <c r="F360" s="13">
        <v>3500.0</v>
      </c>
      <c r="G360" s="13">
        <v>3500.0</v>
      </c>
    </row>
    <row r="362">
      <c r="A362" s="14"/>
      <c r="B362" s="14"/>
    </row>
    <row r="365">
      <c r="A365" s="13" t="s">
        <v>757</v>
      </c>
      <c r="B365" s="13"/>
      <c r="C365" s="79" t="s">
        <v>501</v>
      </c>
      <c r="D365" s="13" t="s">
        <v>655</v>
      </c>
      <c r="E365" s="13" t="s">
        <v>426</v>
      </c>
      <c r="F365" s="13">
        <v>5000.0</v>
      </c>
      <c r="G365" s="13">
        <v>5000.0</v>
      </c>
    </row>
    <row r="367">
      <c r="A367" s="13" t="s">
        <v>521</v>
      </c>
      <c r="B367" s="13"/>
      <c r="C367" s="79" t="s">
        <v>466</v>
      </c>
      <c r="D367" s="13" t="s">
        <v>551</v>
      </c>
      <c r="E367" s="13" t="s">
        <v>426</v>
      </c>
      <c r="F367" s="13">
        <v>18000.0</v>
      </c>
      <c r="G367" s="13">
        <v>18000.0</v>
      </c>
    </row>
    <row r="368">
      <c r="D368" s="13" t="s">
        <v>758</v>
      </c>
      <c r="E368" s="13" t="s">
        <v>429</v>
      </c>
      <c r="F368" s="13">
        <v>4200.0</v>
      </c>
      <c r="G368" s="32">
        <f>F368*2</f>
        <v>8400</v>
      </c>
    </row>
    <row r="370">
      <c r="A370" s="13" t="s">
        <v>759</v>
      </c>
      <c r="B370" s="13"/>
      <c r="C370" s="79" t="s">
        <v>506</v>
      </c>
      <c r="D370" s="13" t="s">
        <v>760</v>
      </c>
      <c r="E370" s="13" t="s">
        <v>426</v>
      </c>
      <c r="F370" s="19">
        <v>17000.0</v>
      </c>
      <c r="G370" s="19">
        <v>17000.0</v>
      </c>
    </row>
    <row r="372">
      <c r="A372" s="13" t="s">
        <v>521</v>
      </c>
      <c r="B372" s="13"/>
      <c r="C372" s="79" t="s">
        <v>761</v>
      </c>
      <c r="D372" s="13" t="s">
        <v>543</v>
      </c>
      <c r="E372" s="13" t="s">
        <v>426</v>
      </c>
      <c r="F372" s="13">
        <v>7500.0</v>
      </c>
      <c r="G372" s="13">
        <v>7500.0</v>
      </c>
    </row>
    <row r="373">
      <c r="D373" s="13" t="s">
        <v>446</v>
      </c>
      <c r="E373" s="13" t="s">
        <v>426</v>
      </c>
      <c r="F373" s="13">
        <v>3400.0</v>
      </c>
      <c r="G373" s="13">
        <v>3400.0</v>
      </c>
    </row>
    <row r="375">
      <c r="A375" s="13" t="s">
        <v>762</v>
      </c>
      <c r="B375" s="13"/>
      <c r="C375" s="79" t="s">
        <v>763</v>
      </c>
      <c r="D375" s="13" t="s">
        <v>764</v>
      </c>
      <c r="E375" s="13" t="s">
        <v>426</v>
      </c>
      <c r="F375" s="19">
        <v>17000.0</v>
      </c>
      <c r="G375" s="19">
        <v>17000.0</v>
      </c>
    </row>
    <row r="376">
      <c r="D376" s="13" t="s">
        <v>608</v>
      </c>
      <c r="E376" s="13" t="s">
        <v>765</v>
      </c>
      <c r="F376" s="13">
        <v>680.0</v>
      </c>
      <c r="G376" s="13">
        <v>680.0</v>
      </c>
    </row>
    <row r="378">
      <c r="A378" s="13" t="s">
        <v>695</v>
      </c>
      <c r="B378" s="13"/>
      <c r="C378" s="79" t="s">
        <v>766</v>
      </c>
      <c r="D378" s="13" t="s">
        <v>767</v>
      </c>
      <c r="E378" s="13" t="s">
        <v>426</v>
      </c>
      <c r="F378" s="13">
        <v>7500.0</v>
      </c>
      <c r="G378" s="13">
        <v>7500.0</v>
      </c>
    </row>
    <row r="380">
      <c r="A380" s="13" t="s">
        <v>757</v>
      </c>
      <c r="B380" s="13"/>
      <c r="C380" s="79" t="s">
        <v>768</v>
      </c>
      <c r="D380" s="13" t="s">
        <v>613</v>
      </c>
      <c r="E380" s="13" t="s">
        <v>426</v>
      </c>
      <c r="F380" s="13">
        <v>3000.0</v>
      </c>
      <c r="G380" s="13">
        <v>3000.0</v>
      </c>
    </row>
    <row r="381">
      <c r="D381" s="13" t="s">
        <v>769</v>
      </c>
      <c r="E381" s="13" t="s">
        <v>693</v>
      </c>
      <c r="F381" s="13">
        <v>7500.0</v>
      </c>
      <c r="G381" s="13">
        <v>7500.0</v>
      </c>
    </row>
    <row r="382">
      <c r="D382" s="13" t="s">
        <v>565</v>
      </c>
      <c r="E382" s="13" t="s">
        <v>693</v>
      </c>
      <c r="F382" s="13">
        <v>4200.0</v>
      </c>
      <c r="G382" s="13">
        <v>4200.0</v>
      </c>
    </row>
    <row r="383">
      <c r="D383" s="13" t="s">
        <v>770</v>
      </c>
      <c r="E383" s="13">
        <v>1.0</v>
      </c>
      <c r="F383" s="13">
        <v>3500.0</v>
      </c>
      <c r="G383" s="13">
        <v>3500.0</v>
      </c>
    </row>
    <row r="384">
      <c r="D384" s="13" t="s">
        <v>719</v>
      </c>
      <c r="E384" s="13">
        <v>1.0</v>
      </c>
      <c r="F384" s="13">
        <v>2800.0</v>
      </c>
      <c r="G384" s="13">
        <v>2800.0</v>
      </c>
    </row>
    <row r="385">
      <c r="D385" s="13" t="s">
        <v>771</v>
      </c>
      <c r="E385" s="13">
        <v>1.0</v>
      </c>
      <c r="F385" s="13">
        <v>1000.0</v>
      </c>
      <c r="G385" s="13">
        <v>1000.0</v>
      </c>
    </row>
    <row r="386">
      <c r="D386" s="13" t="s">
        <v>772</v>
      </c>
      <c r="E386" s="13">
        <v>1.0</v>
      </c>
      <c r="F386" s="13">
        <v>3000.0</v>
      </c>
      <c r="G386" s="13">
        <v>3000.0</v>
      </c>
    </row>
    <row r="388">
      <c r="A388" s="13" t="s">
        <v>645</v>
      </c>
      <c r="B388" s="13"/>
      <c r="C388" s="79" t="s">
        <v>773</v>
      </c>
      <c r="D388" s="13" t="s">
        <v>774</v>
      </c>
      <c r="E388" s="13" t="s">
        <v>426</v>
      </c>
      <c r="F388" s="13">
        <v>3400.0</v>
      </c>
      <c r="G388" s="13">
        <v>3400.0</v>
      </c>
    </row>
    <row r="391">
      <c r="A391" s="13" t="s">
        <v>775</v>
      </c>
      <c r="B391" s="13"/>
      <c r="C391" s="79" t="s">
        <v>714</v>
      </c>
      <c r="D391" s="13" t="s">
        <v>565</v>
      </c>
      <c r="E391" s="13" t="s">
        <v>426</v>
      </c>
      <c r="F391" s="13">
        <v>3600.0</v>
      </c>
      <c r="G391" s="13">
        <v>3600.0</v>
      </c>
    </row>
    <row r="392">
      <c r="D392" s="13" t="s">
        <v>687</v>
      </c>
      <c r="E392" s="13" t="s">
        <v>776</v>
      </c>
      <c r="F392" s="13">
        <v>2320.0</v>
      </c>
      <c r="G392" s="13">
        <v>3600.0</v>
      </c>
    </row>
    <row r="393">
      <c r="D393" s="13" t="s">
        <v>777</v>
      </c>
      <c r="E393" s="13" t="s">
        <v>727</v>
      </c>
      <c r="F393" s="13">
        <v>1400.0</v>
      </c>
      <c r="G393" s="13">
        <v>3600.0</v>
      </c>
    </row>
    <row r="394">
      <c r="D394" s="13" t="s">
        <v>778</v>
      </c>
      <c r="E394" s="13">
        <v>2.0</v>
      </c>
      <c r="F394" s="13">
        <v>650.0</v>
      </c>
      <c r="G394" s="13">
        <v>3600.0</v>
      </c>
    </row>
    <row r="396">
      <c r="A396" s="13" t="s">
        <v>757</v>
      </c>
      <c r="B396" s="13"/>
      <c r="C396" s="79" t="s">
        <v>779</v>
      </c>
      <c r="D396" s="13" t="s">
        <v>780</v>
      </c>
      <c r="E396" s="13" t="s">
        <v>426</v>
      </c>
      <c r="F396" s="19">
        <v>12000.0</v>
      </c>
      <c r="G396" s="13">
        <v>12000.0</v>
      </c>
    </row>
    <row r="397">
      <c r="D397" s="13" t="s">
        <v>640</v>
      </c>
      <c r="E397" s="13" t="s">
        <v>426</v>
      </c>
      <c r="F397" s="19">
        <v>5700.0</v>
      </c>
      <c r="G397" s="13">
        <v>5700.0</v>
      </c>
    </row>
    <row r="398">
      <c r="D398" s="13" t="s">
        <v>565</v>
      </c>
      <c r="E398" s="13" t="s">
        <v>752</v>
      </c>
      <c r="F398" s="13">
        <v>4200.0</v>
      </c>
      <c r="G398" s="13">
        <v>4200.0</v>
      </c>
    </row>
    <row r="399">
      <c r="D399" s="13" t="s">
        <v>781</v>
      </c>
      <c r="E399" s="13" t="s">
        <v>693</v>
      </c>
      <c r="F399" s="13">
        <v>6400.0</v>
      </c>
      <c r="G399" s="13">
        <v>6400.0</v>
      </c>
    </row>
    <row r="400">
      <c r="D400" s="13" t="s">
        <v>782</v>
      </c>
      <c r="E400" s="13">
        <v>1.0</v>
      </c>
      <c r="F400" s="13">
        <v>1250.0</v>
      </c>
      <c r="G400" s="13">
        <v>1250.0</v>
      </c>
    </row>
    <row r="402">
      <c r="A402" s="13" t="s">
        <v>783</v>
      </c>
      <c r="B402" s="13"/>
      <c r="C402" s="79" t="s">
        <v>493</v>
      </c>
      <c r="D402" s="13" t="s">
        <v>784</v>
      </c>
      <c r="E402" s="13" t="s">
        <v>426</v>
      </c>
      <c r="F402" s="13">
        <v>7500.0</v>
      </c>
      <c r="G402" s="13">
        <v>7500.0</v>
      </c>
    </row>
    <row r="403">
      <c r="D403" s="13" t="s">
        <v>174</v>
      </c>
      <c r="E403" s="13">
        <v>1.0</v>
      </c>
      <c r="F403" s="13">
        <v>2500.0</v>
      </c>
      <c r="G403" s="13">
        <v>2500.0</v>
      </c>
    </row>
    <row r="404">
      <c r="D404" s="13" t="s">
        <v>785</v>
      </c>
      <c r="E404" s="13" t="s">
        <v>426</v>
      </c>
      <c r="F404" s="13">
        <v>4000.0</v>
      </c>
      <c r="G404" s="13">
        <v>4000.0</v>
      </c>
    </row>
    <row r="405">
      <c r="D405" s="13" t="s">
        <v>653</v>
      </c>
      <c r="E405" s="13" t="s">
        <v>426</v>
      </c>
      <c r="F405" s="13">
        <v>6600.0</v>
      </c>
      <c r="G405" s="13">
        <v>6600.0</v>
      </c>
    </row>
    <row r="407">
      <c r="A407" s="13" t="s">
        <v>541</v>
      </c>
      <c r="B407" s="13"/>
      <c r="C407" s="79" t="s">
        <v>457</v>
      </c>
      <c r="D407" s="13" t="s">
        <v>540</v>
      </c>
      <c r="E407" s="13" t="s">
        <v>426</v>
      </c>
      <c r="F407" s="13">
        <v>3000.0</v>
      </c>
      <c r="G407" s="13">
        <v>3000.0</v>
      </c>
    </row>
    <row r="409">
      <c r="C409" s="79" t="s">
        <v>786</v>
      </c>
      <c r="D409" s="13" t="s">
        <v>558</v>
      </c>
      <c r="E409" s="13" t="s">
        <v>426</v>
      </c>
      <c r="F409" s="13">
        <v>3600.0</v>
      </c>
      <c r="G409" s="13">
        <v>3600.0</v>
      </c>
    </row>
    <row r="412">
      <c r="A412" s="14" t="s">
        <v>757</v>
      </c>
      <c r="B412" s="14"/>
      <c r="C412" s="79" t="s">
        <v>787</v>
      </c>
      <c r="D412" s="13" t="s">
        <v>788</v>
      </c>
      <c r="E412" s="13" t="s">
        <v>426</v>
      </c>
      <c r="F412" s="13">
        <v>17000.0</v>
      </c>
      <c r="G412" s="13">
        <v>17000.0</v>
      </c>
    </row>
    <row r="415">
      <c r="A415" s="13" t="s">
        <v>783</v>
      </c>
      <c r="B415" s="13"/>
      <c r="C415" s="79" t="s">
        <v>789</v>
      </c>
      <c r="D415" s="13" t="s">
        <v>790</v>
      </c>
      <c r="E415" s="13" t="s">
        <v>426</v>
      </c>
      <c r="F415" s="13">
        <v>18000.0</v>
      </c>
      <c r="G415" s="13">
        <v>18000.0</v>
      </c>
      <c r="H415" s="82" t="s">
        <v>783</v>
      </c>
    </row>
    <row r="416">
      <c r="D416" s="13" t="s">
        <v>640</v>
      </c>
      <c r="E416" s="13" t="s">
        <v>426</v>
      </c>
      <c r="F416" s="13">
        <v>5700.0</v>
      </c>
      <c r="G416" s="13">
        <v>5700.0</v>
      </c>
    </row>
    <row r="417">
      <c r="A417" s="13" t="s">
        <v>783</v>
      </c>
      <c r="B417" s="13"/>
      <c r="C417" s="79" t="s">
        <v>505</v>
      </c>
      <c r="D417" s="13" t="s">
        <v>640</v>
      </c>
      <c r="E417" s="13" t="s">
        <v>426</v>
      </c>
      <c r="F417" s="13">
        <v>5700.0</v>
      </c>
      <c r="G417" s="13">
        <v>5700.0</v>
      </c>
    </row>
    <row r="420">
      <c r="A420" s="78">
        <v>45809.0</v>
      </c>
      <c r="B420" s="78"/>
    </row>
    <row r="421">
      <c r="A421" s="13" t="s">
        <v>757</v>
      </c>
      <c r="B421" s="13"/>
      <c r="C421" s="79" t="s">
        <v>791</v>
      </c>
      <c r="D421" s="13" t="s">
        <v>780</v>
      </c>
      <c r="E421" s="13" t="s">
        <v>426</v>
      </c>
      <c r="F421" s="19">
        <v>12000.0</v>
      </c>
      <c r="G421" s="19">
        <v>12000.0</v>
      </c>
      <c r="H421" s="13">
        <v>9300.0</v>
      </c>
    </row>
    <row r="424">
      <c r="A424" s="13" t="s">
        <v>792</v>
      </c>
      <c r="B424" s="13"/>
      <c r="C424" s="79" t="s">
        <v>793</v>
      </c>
      <c r="D424" s="13" t="s">
        <v>794</v>
      </c>
      <c r="E424" s="13" t="s">
        <v>426</v>
      </c>
      <c r="F424" s="19">
        <v>18000.0</v>
      </c>
      <c r="G424" s="19">
        <v>18000.0</v>
      </c>
      <c r="H424" s="13">
        <v>15800.0</v>
      </c>
    </row>
    <row r="425">
      <c r="D425" s="13" t="s">
        <v>795</v>
      </c>
      <c r="E425" s="13">
        <v>1.0</v>
      </c>
      <c r="F425" s="13">
        <v>3500.0</v>
      </c>
      <c r="G425" s="13">
        <v>3500.0</v>
      </c>
      <c r="H425" s="13">
        <v>2850.0</v>
      </c>
    </row>
    <row r="427">
      <c r="A427" s="13" t="s">
        <v>792</v>
      </c>
      <c r="B427" s="13"/>
      <c r="C427" s="79" t="s">
        <v>796</v>
      </c>
      <c r="D427" s="13" t="s">
        <v>795</v>
      </c>
      <c r="E427" s="13">
        <v>1.0</v>
      </c>
      <c r="F427" s="13">
        <v>3500.0</v>
      </c>
      <c r="G427" s="13">
        <v>3500.0</v>
      </c>
      <c r="H427" s="13">
        <v>2850.0</v>
      </c>
    </row>
    <row r="429">
      <c r="C429" s="79" t="s">
        <v>797</v>
      </c>
      <c r="D429" s="13" t="s">
        <v>598</v>
      </c>
      <c r="E429" s="13" t="s">
        <v>426</v>
      </c>
      <c r="F429" s="13">
        <v>18000.0</v>
      </c>
      <c r="G429" s="13">
        <v>18000.0</v>
      </c>
      <c r="H429" s="13">
        <v>15800.0</v>
      </c>
    </row>
    <row r="430">
      <c r="D430" s="13" t="s">
        <v>540</v>
      </c>
      <c r="E430" s="13" t="s">
        <v>426</v>
      </c>
      <c r="F430" s="13">
        <v>3000.0</v>
      </c>
      <c r="G430" s="13">
        <v>3000.0</v>
      </c>
      <c r="H430" s="13">
        <v>2500.0</v>
      </c>
    </row>
    <row r="431">
      <c r="D431" s="13" t="s">
        <v>758</v>
      </c>
      <c r="E431" s="13" t="s">
        <v>426</v>
      </c>
      <c r="F431" s="13">
        <v>4200.0</v>
      </c>
      <c r="G431" s="13">
        <v>4200.0</v>
      </c>
      <c r="H431" s="13">
        <v>3600.0</v>
      </c>
    </row>
    <row r="433">
      <c r="A433" s="13" t="s">
        <v>757</v>
      </c>
      <c r="B433" s="13"/>
      <c r="C433" s="79" t="s">
        <v>798</v>
      </c>
      <c r="D433" s="13" t="s">
        <v>799</v>
      </c>
      <c r="E433" s="13" t="s">
        <v>429</v>
      </c>
      <c r="F433" s="13">
        <v>17000.0</v>
      </c>
      <c r="G433" s="13">
        <v>34000.0</v>
      </c>
      <c r="H433" s="32">
        <f>13900*2</f>
        <v>27800</v>
      </c>
    </row>
    <row r="436">
      <c r="A436" s="13" t="s">
        <v>757</v>
      </c>
      <c r="B436" s="13"/>
      <c r="C436" s="79" t="s">
        <v>763</v>
      </c>
      <c r="D436" s="13" t="s">
        <v>677</v>
      </c>
      <c r="E436" s="13" t="s">
        <v>426</v>
      </c>
      <c r="F436" s="13">
        <v>3000.0</v>
      </c>
      <c r="G436" s="13">
        <v>3000.0</v>
      </c>
      <c r="H436" s="13">
        <v>2500.0</v>
      </c>
    </row>
    <row r="438">
      <c r="A438" s="13" t="s">
        <v>695</v>
      </c>
      <c r="B438" s="13"/>
      <c r="C438" s="79" t="s">
        <v>505</v>
      </c>
      <c r="D438" s="13" t="s">
        <v>800</v>
      </c>
      <c r="E438" s="13">
        <v>1.0</v>
      </c>
      <c r="F438" s="13">
        <v>6000.0</v>
      </c>
      <c r="G438" s="13">
        <v>6000.0</v>
      </c>
      <c r="H438" s="13">
        <v>5000.0</v>
      </c>
    </row>
    <row r="439">
      <c r="D439" s="13" t="s">
        <v>801</v>
      </c>
      <c r="E439" s="13">
        <v>1.0</v>
      </c>
      <c r="F439" s="13">
        <v>4200.0</v>
      </c>
      <c r="G439" s="13">
        <v>4200.0</v>
      </c>
      <c r="H439" s="13">
        <v>3400.0</v>
      </c>
    </row>
    <row r="441">
      <c r="C441" s="14"/>
      <c r="H441" s="14"/>
    </row>
    <row r="443">
      <c r="C443" s="79" t="s">
        <v>802</v>
      </c>
      <c r="D443" s="13" t="s">
        <v>803</v>
      </c>
      <c r="E443" s="13">
        <v>1.0</v>
      </c>
      <c r="F443" s="13">
        <v>4200.0</v>
      </c>
      <c r="G443" s="13">
        <v>4200.0</v>
      </c>
      <c r="H443" s="13">
        <v>3400.0</v>
      </c>
    </row>
    <row r="444">
      <c r="D444" s="13" t="s">
        <v>804</v>
      </c>
      <c r="E444" s="13">
        <v>1.0</v>
      </c>
      <c r="F444" s="13">
        <v>2500.0</v>
      </c>
      <c r="G444" s="13">
        <v>2500.0</v>
      </c>
    </row>
    <row r="445">
      <c r="D445" s="13" t="s">
        <v>805</v>
      </c>
      <c r="E445" s="13" t="s">
        <v>426</v>
      </c>
      <c r="F445" s="13">
        <v>18000.0</v>
      </c>
      <c r="G445" s="13">
        <v>18000.0</v>
      </c>
      <c r="H445" s="13">
        <v>16400.0</v>
      </c>
    </row>
    <row r="447">
      <c r="A447" s="13" t="s">
        <v>645</v>
      </c>
      <c r="B447" s="13"/>
      <c r="C447" s="79" t="s">
        <v>806</v>
      </c>
      <c r="D447" s="13" t="s">
        <v>807</v>
      </c>
      <c r="E447" s="13" t="s">
        <v>539</v>
      </c>
      <c r="F447" s="13">
        <v>18000.0</v>
      </c>
      <c r="G447" s="13">
        <v>18000.0</v>
      </c>
      <c r="H447" s="13">
        <v>15800.0</v>
      </c>
    </row>
    <row r="448">
      <c r="D448" s="13" t="s">
        <v>732</v>
      </c>
      <c r="E448" s="13" t="s">
        <v>539</v>
      </c>
      <c r="F448" s="13">
        <v>12000.0</v>
      </c>
      <c r="G448" s="13">
        <v>12000.0</v>
      </c>
      <c r="H448" s="13">
        <v>9300.0</v>
      </c>
    </row>
    <row r="451">
      <c r="A451" s="13" t="s">
        <v>808</v>
      </c>
      <c r="B451" s="13"/>
      <c r="C451" s="79" t="s">
        <v>809</v>
      </c>
      <c r="D451" s="13" t="s">
        <v>551</v>
      </c>
      <c r="E451" s="13" t="s">
        <v>426</v>
      </c>
      <c r="F451" s="13">
        <v>18000.0</v>
      </c>
      <c r="G451" s="13">
        <v>18000.0</v>
      </c>
      <c r="H451" s="13">
        <v>15800.0</v>
      </c>
    </row>
    <row r="452">
      <c r="D452" s="13" t="s">
        <v>810</v>
      </c>
      <c r="E452" s="13" t="s">
        <v>426</v>
      </c>
      <c r="F452" s="13">
        <v>17000.0</v>
      </c>
      <c r="G452" s="13">
        <v>17000.0</v>
      </c>
      <c r="H452" s="13">
        <v>13900.0</v>
      </c>
    </row>
    <row r="454">
      <c r="A454" s="13" t="s">
        <v>811</v>
      </c>
      <c r="B454" s="13"/>
      <c r="C454" s="79" t="s">
        <v>501</v>
      </c>
      <c r="D454" s="13" t="s">
        <v>725</v>
      </c>
      <c r="E454" s="13" t="s">
        <v>426</v>
      </c>
      <c r="F454" s="13">
        <v>18000.0</v>
      </c>
      <c r="G454" s="13">
        <v>18000.0</v>
      </c>
      <c r="H454" s="13">
        <v>15800.0</v>
      </c>
    </row>
    <row r="455">
      <c r="D455" s="13" t="s">
        <v>812</v>
      </c>
      <c r="E455" s="13" t="s">
        <v>727</v>
      </c>
      <c r="F455" s="13">
        <v>3300.0</v>
      </c>
      <c r="G455" s="13">
        <v>3300.0</v>
      </c>
      <c r="H455" s="13">
        <v>2800.0</v>
      </c>
    </row>
    <row r="456">
      <c r="D456" s="13" t="s">
        <v>437</v>
      </c>
      <c r="E456" s="13" t="s">
        <v>426</v>
      </c>
      <c r="F456" s="13">
        <v>9250.0</v>
      </c>
      <c r="G456" s="13">
        <v>9250.0</v>
      </c>
      <c r="H456" s="13">
        <v>7700.0</v>
      </c>
    </row>
    <row r="458">
      <c r="A458" s="13" t="s">
        <v>521</v>
      </c>
      <c r="B458" s="13"/>
      <c r="C458" s="79" t="s">
        <v>472</v>
      </c>
      <c r="D458" s="13" t="s">
        <v>558</v>
      </c>
      <c r="E458" s="13" t="s">
        <v>693</v>
      </c>
      <c r="F458" s="13">
        <v>4200.0</v>
      </c>
      <c r="G458" s="13">
        <v>4200.0</v>
      </c>
      <c r="H458" s="13">
        <v>3600.0</v>
      </c>
    </row>
    <row r="459">
      <c r="D459" s="13" t="s">
        <v>632</v>
      </c>
      <c r="E459" s="13" t="s">
        <v>426</v>
      </c>
      <c r="F459" s="13">
        <v>2500.0</v>
      </c>
      <c r="G459" s="13">
        <v>2500.0</v>
      </c>
    </row>
    <row r="460">
      <c r="D460" s="13" t="s">
        <v>607</v>
      </c>
      <c r="E460" s="13" t="s">
        <v>426</v>
      </c>
      <c r="F460" s="13">
        <v>6600.0</v>
      </c>
      <c r="G460" s="13">
        <v>6600.0</v>
      </c>
      <c r="H460" s="13">
        <v>5200.0</v>
      </c>
    </row>
    <row r="462">
      <c r="C462" s="79" t="s">
        <v>542</v>
      </c>
      <c r="D462" s="13" t="s">
        <v>443</v>
      </c>
      <c r="E462" s="13" t="s">
        <v>539</v>
      </c>
      <c r="F462" s="13">
        <v>12300.0</v>
      </c>
      <c r="G462" s="13">
        <v>12300.0</v>
      </c>
      <c r="H462" s="13">
        <v>12300.0</v>
      </c>
    </row>
    <row r="463">
      <c r="D463" s="13" t="s">
        <v>813</v>
      </c>
      <c r="E463" s="13" t="s">
        <v>814</v>
      </c>
      <c r="F463" s="13">
        <v>6750.0</v>
      </c>
      <c r="G463" s="13">
        <v>6750.0</v>
      </c>
      <c r="H463" s="13">
        <v>6750.0</v>
      </c>
    </row>
    <row r="464">
      <c r="D464" s="13" t="s">
        <v>549</v>
      </c>
    </row>
    <row r="465">
      <c r="A465" s="13" t="s">
        <v>521</v>
      </c>
      <c r="B465" s="13"/>
      <c r="C465" s="79" t="s">
        <v>815</v>
      </c>
      <c r="D465" s="13" t="s">
        <v>816</v>
      </c>
      <c r="E465" s="13" t="s">
        <v>426</v>
      </c>
      <c r="F465" s="13">
        <v>7700.0</v>
      </c>
      <c r="G465" s="13">
        <v>7700.0</v>
      </c>
      <c r="H465" s="13">
        <v>7700.0</v>
      </c>
    </row>
    <row r="466">
      <c r="D466" s="13" t="s">
        <v>813</v>
      </c>
      <c r="E466" s="13" t="s">
        <v>814</v>
      </c>
      <c r="F466" s="13">
        <v>6750.0</v>
      </c>
      <c r="G466" s="13">
        <v>6750.0</v>
      </c>
      <c r="H466" s="13">
        <v>6750.0</v>
      </c>
    </row>
    <row r="467">
      <c r="D467" s="13" t="s">
        <v>606</v>
      </c>
      <c r="E467" s="13" t="s">
        <v>426</v>
      </c>
      <c r="F467" s="13">
        <v>4700.0</v>
      </c>
      <c r="G467" s="13">
        <v>4700.0</v>
      </c>
      <c r="H467" s="13">
        <v>4700.0</v>
      </c>
    </row>
    <row r="469">
      <c r="A469" s="13" t="s">
        <v>757</v>
      </c>
      <c r="B469" s="13"/>
      <c r="C469" s="79" t="s">
        <v>817</v>
      </c>
      <c r="D469" s="13" t="s">
        <v>790</v>
      </c>
      <c r="E469" s="13" t="s">
        <v>426</v>
      </c>
      <c r="F469" s="19">
        <v>18000.0</v>
      </c>
      <c r="G469" s="13">
        <v>18000.0</v>
      </c>
      <c r="H469" s="13">
        <v>15800.0</v>
      </c>
    </row>
    <row r="470">
      <c r="D470" s="13" t="s">
        <v>818</v>
      </c>
      <c r="E470" s="13" t="s">
        <v>727</v>
      </c>
      <c r="F470" s="19">
        <v>17000.0</v>
      </c>
      <c r="G470" s="13">
        <v>17000.0</v>
      </c>
      <c r="H470" s="13">
        <v>13500.0</v>
      </c>
    </row>
    <row r="471">
      <c r="D471" s="13" t="s">
        <v>819</v>
      </c>
      <c r="E471" s="13" t="s">
        <v>426</v>
      </c>
      <c r="F471" s="19">
        <v>13200.0</v>
      </c>
      <c r="H471" s="13">
        <v>11000.0</v>
      </c>
    </row>
    <row r="473">
      <c r="A473" s="13" t="s">
        <v>521</v>
      </c>
      <c r="B473" s="13"/>
      <c r="C473" s="79" t="s">
        <v>820</v>
      </c>
      <c r="D473" s="13" t="s">
        <v>551</v>
      </c>
      <c r="E473" s="13" t="s">
        <v>426</v>
      </c>
      <c r="F473" s="13">
        <v>18000.0</v>
      </c>
      <c r="G473" s="13">
        <v>18000.0</v>
      </c>
      <c r="H473" s="13">
        <v>15800.0</v>
      </c>
    </row>
    <row r="474">
      <c r="D474" s="13" t="s">
        <v>821</v>
      </c>
      <c r="E474" s="13" t="s">
        <v>429</v>
      </c>
      <c r="F474" s="13">
        <v>14500.0</v>
      </c>
      <c r="G474" s="32">
        <f>F474*2</f>
        <v>29000</v>
      </c>
      <c r="H474" s="32">
        <f>12300*2</f>
        <v>24600</v>
      </c>
    </row>
    <row r="475">
      <c r="D475" s="13" t="s">
        <v>822</v>
      </c>
      <c r="E475" s="13" t="s">
        <v>426</v>
      </c>
      <c r="F475" s="13">
        <v>20600.0</v>
      </c>
      <c r="G475" s="13">
        <v>20600.0</v>
      </c>
      <c r="H475" s="13">
        <v>13800.0</v>
      </c>
    </row>
    <row r="476">
      <c r="D476" s="13" t="s">
        <v>823</v>
      </c>
      <c r="E476" s="13" t="s">
        <v>426</v>
      </c>
      <c r="F476" s="13">
        <v>3000.0</v>
      </c>
      <c r="G476" s="13">
        <v>3000.0</v>
      </c>
      <c r="H476" s="13">
        <v>2500.0</v>
      </c>
    </row>
    <row r="477">
      <c r="D477" s="13" t="s">
        <v>598</v>
      </c>
      <c r="E477" s="13" t="s">
        <v>426</v>
      </c>
      <c r="F477" s="13">
        <v>18000.0</v>
      </c>
      <c r="G477" s="13">
        <v>18000.0</v>
      </c>
      <c r="H477" s="13">
        <v>15800.0</v>
      </c>
    </row>
    <row r="478">
      <c r="D478" s="13" t="s">
        <v>606</v>
      </c>
      <c r="E478" s="13" t="s">
        <v>426</v>
      </c>
      <c r="F478" s="13">
        <v>5700.0</v>
      </c>
      <c r="G478" s="13">
        <v>5700.0</v>
      </c>
      <c r="H478" s="13">
        <v>4700.0</v>
      </c>
    </row>
    <row r="479">
      <c r="D479" s="13" t="s">
        <v>824</v>
      </c>
      <c r="E479" s="13" t="s">
        <v>426</v>
      </c>
      <c r="F479" s="13">
        <v>8700.0</v>
      </c>
      <c r="G479" s="13">
        <v>8700.0</v>
      </c>
      <c r="H479" s="13">
        <v>7200.0</v>
      </c>
    </row>
    <row r="480">
      <c r="D480" s="13" t="s">
        <v>600</v>
      </c>
      <c r="E480" s="13" t="s">
        <v>539</v>
      </c>
      <c r="F480" s="13">
        <v>5700.0</v>
      </c>
      <c r="G480" s="13">
        <v>5700.0</v>
      </c>
      <c r="H480" s="13">
        <v>4800.0</v>
      </c>
    </row>
    <row r="481">
      <c r="D481" s="13" t="s">
        <v>558</v>
      </c>
      <c r="E481" s="13" t="s">
        <v>426</v>
      </c>
      <c r="F481" s="13">
        <v>4200.0</v>
      </c>
      <c r="G481" s="13">
        <v>4200.0</v>
      </c>
      <c r="H481" s="13">
        <v>3600.0</v>
      </c>
    </row>
    <row r="483">
      <c r="A483" s="13" t="s">
        <v>521</v>
      </c>
      <c r="B483" s="13"/>
      <c r="C483" s="79" t="s">
        <v>825</v>
      </c>
      <c r="D483" s="13" t="s">
        <v>826</v>
      </c>
      <c r="E483" s="13" t="s">
        <v>426</v>
      </c>
      <c r="F483" s="13">
        <v>14600.0</v>
      </c>
      <c r="G483" s="13">
        <v>14600.0</v>
      </c>
      <c r="H483" s="13">
        <v>12500.0</v>
      </c>
    </row>
    <row r="484">
      <c r="D484" s="13" t="s">
        <v>827</v>
      </c>
      <c r="E484" s="13" t="s">
        <v>426</v>
      </c>
      <c r="G484" s="13">
        <v>20600.0</v>
      </c>
      <c r="H484" s="13">
        <v>13800.0</v>
      </c>
    </row>
    <row r="485">
      <c r="C485" s="14"/>
      <c r="D485" s="13"/>
      <c r="E485" s="13"/>
      <c r="F485" s="13"/>
      <c r="G485" s="13"/>
    </row>
    <row r="486">
      <c r="A486" s="13" t="s">
        <v>828</v>
      </c>
      <c r="B486" s="13"/>
      <c r="C486" s="79" t="s">
        <v>829</v>
      </c>
      <c r="D486" s="13" t="s">
        <v>438</v>
      </c>
      <c r="E486" s="13" t="s">
        <v>429</v>
      </c>
      <c r="F486" s="13">
        <v>5700.0</v>
      </c>
      <c r="G486" s="13">
        <v>11400.0</v>
      </c>
      <c r="H486" s="32">
        <f>4800*2</f>
        <v>9600</v>
      </c>
    </row>
    <row r="487">
      <c r="D487" s="13" t="s">
        <v>830</v>
      </c>
      <c r="E487" s="13" t="s">
        <v>426</v>
      </c>
      <c r="F487" s="13">
        <v>17000.0</v>
      </c>
      <c r="G487" s="13">
        <v>17000.0</v>
      </c>
      <c r="H487" s="13">
        <v>13900.0</v>
      </c>
    </row>
    <row r="488">
      <c r="D488" s="13" t="s">
        <v>536</v>
      </c>
      <c r="E488" s="13">
        <v>2.5</v>
      </c>
      <c r="F488" s="13">
        <v>6000.0</v>
      </c>
      <c r="G488" s="13">
        <v>6000.0</v>
      </c>
      <c r="H488" s="13">
        <v>8000.0</v>
      </c>
    </row>
    <row r="489">
      <c r="D489" s="13" t="s">
        <v>831</v>
      </c>
      <c r="E489" s="13" t="s">
        <v>426</v>
      </c>
      <c r="F489" s="13">
        <v>4200.0</v>
      </c>
      <c r="G489" s="13">
        <v>4200.0</v>
      </c>
      <c r="H489" s="13">
        <v>3600.0</v>
      </c>
    </row>
    <row r="490">
      <c r="D490" s="13" t="s">
        <v>832</v>
      </c>
      <c r="E490" s="13" t="s">
        <v>426</v>
      </c>
      <c r="F490" s="13">
        <v>3200.0</v>
      </c>
      <c r="G490" s="13">
        <v>3200.0</v>
      </c>
    </row>
    <row r="491">
      <c r="I491" s="13">
        <v>7329.0</v>
      </c>
    </row>
    <row r="493">
      <c r="A493" s="78">
        <v>45816.0</v>
      </c>
      <c r="B493" s="78"/>
    </row>
    <row r="494">
      <c r="A494" s="13" t="s">
        <v>783</v>
      </c>
      <c r="B494" s="13"/>
      <c r="C494" s="79" t="s">
        <v>833</v>
      </c>
      <c r="D494" s="13" t="s">
        <v>834</v>
      </c>
      <c r="E494" s="13" t="s">
        <v>426</v>
      </c>
      <c r="F494" s="13">
        <v>3000.0</v>
      </c>
      <c r="G494" s="13">
        <v>3000.0</v>
      </c>
    </row>
    <row r="495">
      <c r="D495" s="13" t="s">
        <v>835</v>
      </c>
      <c r="E495" s="13" t="s">
        <v>426</v>
      </c>
      <c r="F495" s="13">
        <v>5400.0</v>
      </c>
      <c r="G495" s="13">
        <v>5400.0</v>
      </c>
    </row>
    <row r="496">
      <c r="D496" s="13" t="s">
        <v>836</v>
      </c>
      <c r="E496" s="13" t="s">
        <v>426</v>
      </c>
      <c r="F496" s="13">
        <v>5000.0</v>
      </c>
      <c r="G496" s="13">
        <v>5000.0</v>
      </c>
    </row>
    <row r="497">
      <c r="D497" s="13" t="s">
        <v>837</v>
      </c>
      <c r="E497" s="13">
        <v>1.0</v>
      </c>
      <c r="F497" s="13">
        <v>1000.0</v>
      </c>
      <c r="G497" s="13">
        <v>1000.0</v>
      </c>
    </row>
    <row r="499">
      <c r="A499" s="13" t="s">
        <v>838</v>
      </c>
      <c r="B499" s="13"/>
      <c r="C499" s="79" t="s">
        <v>839</v>
      </c>
      <c r="D499" s="13" t="s">
        <v>840</v>
      </c>
      <c r="E499" s="13">
        <v>1.0</v>
      </c>
      <c r="F499" s="13">
        <v>3500.0</v>
      </c>
      <c r="G499" s="13">
        <v>3500.0</v>
      </c>
    </row>
    <row r="501">
      <c r="A501" s="13" t="s">
        <v>541</v>
      </c>
      <c r="B501" s="13"/>
      <c r="C501" s="79" t="s">
        <v>825</v>
      </c>
      <c r="D501" s="13" t="s">
        <v>558</v>
      </c>
      <c r="E501" s="13" t="s">
        <v>429</v>
      </c>
      <c r="F501" s="13">
        <v>4200.0</v>
      </c>
      <c r="G501" s="32">
        <f>2*F501</f>
        <v>8400</v>
      </c>
    </row>
    <row r="503">
      <c r="A503" s="13" t="s">
        <v>792</v>
      </c>
      <c r="B503" s="13"/>
      <c r="C503" s="79" t="s">
        <v>841</v>
      </c>
      <c r="D503" s="13" t="s">
        <v>758</v>
      </c>
      <c r="E503" s="13" t="s">
        <v>426</v>
      </c>
      <c r="F503" s="13">
        <v>4200.0</v>
      </c>
      <c r="G503" s="13">
        <v>4200.0</v>
      </c>
    </row>
    <row r="504">
      <c r="D504" s="13" t="s">
        <v>842</v>
      </c>
      <c r="E504" s="13" t="s">
        <v>426</v>
      </c>
      <c r="F504" s="13">
        <v>5700.0</v>
      </c>
      <c r="G504" s="13">
        <v>5700.0</v>
      </c>
    </row>
    <row r="505">
      <c r="D505" s="13" t="s">
        <v>843</v>
      </c>
      <c r="E505" s="13" t="s">
        <v>426</v>
      </c>
      <c r="F505" s="13">
        <v>6800.0</v>
      </c>
      <c r="G505" s="13">
        <v>6800.0</v>
      </c>
    </row>
    <row r="507">
      <c r="A507" s="13" t="s">
        <v>844</v>
      </c>
      <c r="B507" s="13"/>
      <c r="C507" s="79" t="s">
        <v>845</v>
      </c>
      <c r="D507" s="13" t="s">
        <v>846</v>
      </c>
      <c r="E507" s="13" t="s">
        <v>426</v>
      </c>
      <c r="F507" s="13">
        <v>19000.0</v>
      </c>
      <c r="G507" s="13">
        <v>19000.0</v>
      </c>
    </row>
    <row r="509">
      <c r="C509" s="83" t="s">
        <v>542</v>
      </c>
      <c r="D509" s="13" t="s">
        <v>549</v>
      </c>
      <c r="E509" s="13" t="s">
        <v>426</v>
      </c>
      <c r="G509" s="13">
        <v>14000.0</v>
      </c>
    </row>
    <row r="510">
      <c r="D510" s="13" t="s">
        <v>558</v>
      </c>
      <c r="E510" s="13" t="s">
        <v>539</v>
      </c>
      <c r="F510" s="13">
        <v>3600.0</v>
      </c>
      <c r="G510" s="13">
        <v>3600.0</v>
      </c>
    </row>
    <row r="511">
      <c r="D511" s="13" t="s">
        <v>606</v>
      </c>
      <c r="E511" s="13" t="s">
        <v>426</v>
      </c>
      <c r="G511" s="13">
        <v>4700.0</v>
      </c>
    </row>
    <row r="512">
      <c r="C512" s="14"/>
      <c r="D512" s="13"/>
      <c r="E512" s="13"/>
      <c r="F512" s="13"/>
      <c r="G512" s="13"/>
    </row>
    <row r="513">
      <c r="A513" s="13" t="s">
        <v>541</v>
      </c>
      <c r="B513" s="13"/>
      <c r="C513" s="79" t="s">
        <v>461</v>
      </c>
      <c r="D513" s="13" t="s">
        <v>598</v>
      </c>
      <c r="E513" s="13" t="s">
        <v>539</v>
      </c>
      <c r="F513" s="13">
        <v>19000.0</v>
      </c>
      <c r="G513" s="13">
        <v>19000.0</v>
      </c>
    </row>
    <row r="514">
      <c r="I514" s="13">
        <v>38140.0</v>
      </c>
    </row>
    <row r="516">
      <c r="A516" s="78">
        <v>45823.0</v>
      </c>
      <c r="B516" s="78"/>
    </row>
    <row r="517">
      <c r="A517" s="13" t="s">
        <v>757</v>
      </c>
      <c r="B517" s="13"/>
      <c r="C517" s="79" t="s">
        <v>847</v>
      </c>
      <c r="D517" s="13" t="s">
        <v>848</v>
      </c>
      <c r="E517" s="13">
        <v>1.0</v>
      </c>
      <c r="F517" s="13">
        <v>3500.0</v>
      </c>
      <c r="G517" s="13">
        <v>3500.0</v>
      </c>
    </row>
    <row r="519">
      <c r="A519" s="13" t="s">
        <v>695</v>
      </c>
      <c r="B519" s="13"/>
      <c r="C519" s="79" t="s">
        <v>849</v>
      </c>
      <c r="D519" s="13" t="s">
        <v>850</v>
      </c>
      <c r="E519" s="13">
        <v>1.0</v>
      </c>
      <c r="F519" s="13">
        <v>4200.0</v>
      </c>
      <c r="G519" s="13">
        <v>4200.0</v>
      </c>
    </row>
    <row r="521">
      <c r="A521" s="13" t="s">
        <v>851</v>
      </c>
      <c r="B521" s="13"/>
      <c r="C521" s="79" t="s">
        <v>852</v>
      </c>
      <c r="D521" s="13" t="s">
        <v>853</v>
      </c>
      <c r="E521" s="13" t="s">
        <v>426</v>
      </c>
      <c r="F521" s="13">
        <v>2500.0</v>
      </c>
      <c r="G521" s="13">
        <v>2500.0</v>
      </c>
    </row>
    <row r="522">
      <c r="D522" s="13" t="s">
        <v>361</v>
      </c>
      <c r="E522" s="13">
        <v>1.0</v>
      </c>
      <c r="F522" s="13">
        <v>1700.0</v>
      </c>
      <c r="G522" s="13">
        <v>1700.0</v>
      </c>
    </row>
    <row r="523">
      <c r="D523" s="13" t="s">
        <v>854</v>
      </c>
      <c r="E523" s="13" t="s">
        <v>426</v>
      </c>
      <c r="F523" s="13">
        <v>6600.0</v>
      </c>
      <c r="G523" s="13">
        <v>6600.0</v>
      </c>
    </row>
    <row r="524">
      <c r="D524" s="13" t="s">
        <v>855</v>
      </c>
      <c r="E524" s="13" t="s">
        <v>727</v>
      </c>
      <c r="F524" s="13">
        <v>3000.0</v>
      </c>
      <c r="G524" s="13">
        <v>3000.0</v>
      </c>
    </row>
    <row r="525">
      <c r="D525" s="13" t="s">
        <v>781</v>
      </c>
      <c r="E525" s="13" t="s">
        <v>727</v>
      </c>
      <c r="F525" s="13">
        <v>3400.0</v>
      </c>
      <c r="G525" s="13">
        <v>3400.0</v>
      </c>
    </row>
    <row r="527">
      <c r="A527" s="13" t="s">
        <v>521</v>
      </c>
      <c r="B527" s="13"/>
      <c r="C527" s="79" t="s">
        <v>643</v>
      </c>
      <c r="D527" s="13" t="s">
        <v>856</v>
      </c>
      <c r="E527" s="13" t="s">
        <v>429</v>
      </c>
      <c r="F527" s="13">
        <v>20000.0</v>
      </c>
      <c r="G527" s="13">
        <v>40000.0</v>
      </c>
      <c r="H527" s="13">
        <v>16400.0</v>
      </c>
    </row>
    <row r="529">
      <c r="A529" s="13" t="s">
        <v>521</v>
      </c>
      <c r="B529" s="13"/>
      <c r="C529" s="79" t="s">
        <v>857</v>
      </c>
      <c r="D529" s="13" t="s">
        <v>552</v>
      </c>
      <c r="E529" s="13" t="s">
        <v>426</v>
      </c>
      <c r="F529" s="13">
        <v>7700.0</v>
      </c>
      <c r="G529" s="13">
        <v>7700.0</v>
      </c>
    </row>
    <row r="530">
      <c r="D530" s="13" t="s">
        <v>858</v>
      </c>
      <c r="E530" s="13" t="s">
        <v>426</v>
      </c>
      <c r="F530" s="13">
        <v>2500.0</v>
      </c>
      <c r="G530" s="13">
        <v>2500.0</v>
      </c>
    </row>
    <row r="531">
      <c r="D531" s="13" t="s">
        <v>859</v>
      </c>
      <c r="E531" s="13">
        <v>2.0</v>
      </c>
      <c r="F531" s="13">
        <v>2500.0</v>
      </c>
      <c r="G531" s="13"/>
    </row>
    <row r="532">
      <c r="D532" s="13" t="s">
        <v>675</v>
      </c>
      <c r="E532" s="13" t="s">
        <v>426</v>
      </c>
      <c r="F532" s="13">
        <v>2400.0</v>
      </c>
      <c r="G532" s="13">
        <v>2400.0</v>
      </c>
    </row>
    <row r="533">
      <c r="D533" s="13" t="s">
        <v>555</v>
      </c>
      <c r="E533" s="13" t="s">
        <v>426</v>
      </c>
      <c r="F533" s="13">
        <v>4100.0</v>
      </c>
      <c r="G533" s="13">
        <v>4100.0</v>
      </c>
    </row>
    <row r="534">
      <c r="D534" s="13" t="s">
        <v>860</v>
      </c>
      <c r="E534" s="13" t="s">
        <v>426</v>
      </c>
      <c r="F534" s="13">
        <v>8700.0</v>
      </c>
      <c r="G534" s="13">
        <v>8700.0</v>
      </c>
    </row>
    <row r="535">
      <c r="C535" s="14"/>
      <c r="D535" s="13" t="s">
        <v>861</v>
      </c>
      <c r="E535" s="13">
        <v>5.0</v>
      </c>
      <c r="F535" s="13">
        <v>1000.0</v>
      </c>
      <c r="G535" s="13">
        <v>5000.0</v>
      </c>
    </row>
    <row r="536">
      <c r="D536" s="13" t="s">
        <v>862</v>
      </c>
      <c r="E536" s="13">
        <v>5.0</v>
      </c>
      <c r="F536" s="13">
        <v>1000.0</v>
      </c>
      <c r="G536" s="13">
        <v>5000.0</v>
      </c>
    </row>
    <row r="537">
      <c r="E537" s="84"/>
    </row>
    <row r="538">
      <c r="A538" s="13" t="s">
        <v>521</v>
      </c>
      <c r="B538" s="13"/>
      <c r="C538" s="79" t="s">
        <v>457</v>
      </c>
      <c r="D538" s="13" t="s">
        <v>863</v>
      </c>
      <c r="E538" s="13" t="s">
        <v>426</v>
      </c>
      <c r="F538" s="13">
        <v>7100.0</v>
      </c>
      <c r="G538" s="13">
        <v>7100.0</v>
      </c>
    </row>
    <row r="540">
      <c r="A540" s="13" t="s">
        <v>521</v>
      </c>
      <c r="B540" s="13"/>
      <c r="C540" s="79" t="s">
        <v>466</v>
      </c>
      <c r="D540" s="13" t="s">
        <v>864</v>
      </c>
      <c r="E540" s="13" t="s">
        <v>693</v>
      </c>
      <c r="F540" s="13">
        <v>7100.0</v>
      </c>
      <c r="G540" s="13">
        <v>7100.0</v>
      </c>
    </row>
    <row r="543">
      <c r="A543" s="13" t="s">
        <v>521</v>
      </c>
      <c r="B543" s="13"/>
      <c r="C543" s="79" t="s">
        <v>478</v>
      </c>
      <c r="D543" s="13" t="s">
        <v>865</v>
      </c>
      <c r="E543" s="13" t="s">
        <v>426</v>
      </c>
      <c r="F543" s="13">
        <v>20000.0</v>
      </c>
      <c r="G543" s="13">
        <v>20000.0</v>
      </c>
    </row>
    <row r="545">
      <c r="A545" s="13" t="s">
        <v>757</v>
      </c>
      <c r="B545" s="13"/>
      <c r="C545" s="79" t="s">
        <v>866</v>
      </c>
      <c r="D545" s="13" t="s">
        <v>867</v>
      </c>
      <c r="E545" s="13" t="s">
        <v>426</v>
      </c>
      <c r="F545" s="13">
        <v>3000.0</v>
      </c>
      <c r="G545" s="13">
        <v>3000.0</v>
      </c>
    </row>
    <row r="546">
      <c r="D546" s="13" t="s">
        <v>780</v>
      </c>
      <c r="E546" s="13" t="s">
        <v>426</v>
      </c>
      <c r="F546" s="13">
        <v>12000.0</v>
      </c>
      <c r="G546" s="13">
        <v>12000.0</v>
      </c>
    </row>
    <row r="547">
      <c r="D547" s="13" t="s">
        <v>868</v>
      </c>
      <c r="E547" s="13" t="s">
        <v>426</v>
      </c>
      <c r="F547" s="13">
        <v>4700.0</v>
      </c>
      <c r="G547" s="13">
        <v>4700.0</v>
      </c>
    </row>
    <row r="548">
      <c r="D548" s="13" t="s">
        <v>438</v>
      </c>
      <c r="E548" s="13" t="s">
        <v>426</v>
      </c>
      <c r="F548" s="13">
        <v>5800.0</v>
      </c>
      <c r="G548" s="13">
        <v>5800.0</v>
      </c>
    </row>
    <row r="549">
      <c r="D549" s="13" t="s">
        <v>869</v>
      </c>
      <c r="E549" s="13">
        <v>2.5</v>
      </c>
      <c r="F549" s="13">
        <v>3750.0</v>
      </c>
      <c r="G549" s="13">
        <v>3750.0</v>
      </c>
    </row>
    <row r="550">
      <c r="D550" s="13" t="s">
        <v>565</v>
      </c>
      <c r="E550" s="13" t="s">
        <v>426</v>
      </c>
      <c r="F550" s="13">
        <v>4400.0</v>
      </c>
      <c r="G550" s="13">
        <v>4400.0</v>
      </c>
    </row>
    <row r="552">
      <c r="A552" s="13" t="s">
        <v>757</v>
      </c>
      <c r="B552" s="13"/>
      <c r="C552" s="79" t="s">
        <v>870</v>
      </c>
      <c r="D552" s="13" t="s">
        <v>871</v>
      </c>
      <c r="E552" s="13" t="s">
        <v>752</v>
      </c>
      <c r="F552" s="13">
        <v>17000.0</v>
      </c>
      <c r="G552" s="13">
        <v>17000.0</v>
      </c>
    </row>
    <row r="553">
      <c r="D553" s="13" t="s">
        <v>872</v>
      </c>
      <c r="E553" s="13" t="s">
        <v>426</v>
      </c>
      <c r="F553" s="13">
        <v>8700.0</v>
      </c>
      <c r="G553" s="13">
        <v>8700.0</v>
      </c>
    </row>
    <row r="554">
      <c r="D554" s="13" t="s">
        <v>873</v>
      </c>
      <c r="E554" s="13" t="s">
        <v>727</v>
      </c>
      <c r="F554" s="13">
        <v>4625.0</v>
      </c>
      <c r="G554" s="13">
        <v>4625.0</v>
      </c>
    </row>
    <row r="555">
      <c r="D555" s="13" t="s">
        <v>565</v>
      </c>
      <c r="E555" s="13" t="s">
        <v>426</v>
      </c>
      <c r="F555" s="13">
        <v>4400.0</v>
      </c>
      <c r="G555" s="13">
        <v>4400.0</v>
      </c>
    </row>
    <row r="556">
      <c r="D556" s="13" t="s">
        <v>874</v>
      </c>
      <c r="E556" s="13">
        <v>2.0</v>
      </c>
      <c r="F556" s="13">
        <v>2400.0</v>
      </c>
      <c r="G556" s="13">
        <v>2400.0</v>
      </c>
    </row>
    <row r="561">
      <c r="A561" s="13" t="s">
        <v>838</v>
      </c>
      <c r="B561" s="13"/>
      <c r="C561" s="85" t="s">
        <v>875</v>
      </c>
      <c r="D561" s="13" t="s">
        <v>876</v>
      </c>
      <c r="E561" s="13" t="s">
        <v>426</v>
      </c>
      <c r="F561" s="13">
        <v>17000.0</v>
      </c>
      <c r="G561" s="13">
        <v>17000.0</v>
      </c>
    </row>
    <row r="562">
      <c r="C562" s="40"/>
      <c r="D562" s="13" t="s">
        <v>725</v>
      </c>
      <c r="E562" s="13" t="s">
        <v>426</v>
      </c>
      <c r="F562" s="13">
        <v>19000.0</v>
      </c>
      <c r="G562" s="13">
        <v>19000.0</v>
      </c>
    </row>
    <row r="563">
      <c r="C563" s="40"/>
      <c r="D563" s="13" t="s">
        <v>877</v>
      </c>
      <c r="E563" s="13" t="s">
        <v>426</v>
      </c>
      <c r="F563" s="13">
        <v>15000.0</v>
      </c>
      <c r="G563" s="13">
        <v>15000.0</v>
      </c>
    </row>
    <row r="564">
      <c r="C564" s="40"/>
      <c r="D564" s="13" t="s">
        <v>878</v>
      </c>
      <c r="E564" s="13">
        <v>1.0</v>
      </c>
      <c r="F564" s="13">
        <v>3000.0</v>
      </c>
      <c r="G564" s="13">
        <v>3000.0</v>
      </c>
    </row>
    <row r="565">
      <c r="C565" s="40"/>
      <c r="D565" s="13" t="s">
        <v>879</v>
      </c>
      <c r="E565" s="13">
        <v>1.0</v>
      </c>
      <c r="F565" s="13">
        <v>3000.0</v>
      </c>
      <c r="G565" s="13">
        <v>3000.0</v>
      </c>
    </row>
    <row r="566">
      <c r="D566" s="13" t="s">
        <v>880</v>
      </c>
      <c r="E566" s="13" t="s">
        <v>426</v>
      </c>
      <c r="F566" s="13">
        <v>9250.0</v>
      </c>
      <c r="G566" s="13">
        <v>9250.0</v>
      </c>
    </row>
    <row r="567">
      <c r="D567" s="13" t="s">
        <v>174</v>
      </c>
      <c r="E567" s="13">
        <v>1.0</v>
      </c>
      <c r="F567" s="13">
        <v>2500.0</v>
      </c>
      <c r="G567" s="13">
        <v>2500.0</v>
      </c>
    </row>
    <row r="569">
      <c r="C569" s="13" t="s">
        <v>542</v>
      </c>
      <c r="D569" s="13" t="s">
        <v>881</v>
      </c>
      <c r="E569" s="13" t="s">
        <v>693</v>
      </c>
      <c r="F569" s="13">
        <v>16400.0</v>
      </c>
      <c r="G569" s="13">
        <v>16400.0</v>
      </c>
    </row>
    <row r="570">
      <c r="D570" s="13" t="s">
        <v>882</v>
      </c>
      <c r="E570" s="13" t="s">
        <v>727</v>
      </c>
      <c r="F570" s="13">
        <v>1400.0</v>
      </c>
      <c r="G570" s="13">
        <v>1400.0</v>
      </c>
    </row>
    <row r="571">
      <c r="H571" s="13">
        <v>51325.0</v>
      </c>
      <c r="I571" s="13" t="s">
        <v>883</v>
      </c>
    </row>
    <row r="572">
      <c r="A572" s="78">
        <v>45830.0</v>
      </c>
      <c r="B572" s="78"/>
    </row>
    <row r="573">
      <c r="C573" s="79" t="s">
        <v>884</v>
      </c>
      <c r="D573" s="13" t="s">
        <v>885</v>
      </c>
      <c r="E573" s="13" t="s">
        <v>426</v>
      </c>
      <c r="F573" s="13">
        <v>17000.0</v>
      </c>
      <c r="G573" s="13">
        <v>17000.0</v>
      </c>
    </row>
    <row r="575">
      <c r="A575" s="13" t="s">
        <v>757</v>
      </c>
      <c r="B575" s="13"/>
      <c r="C575" s="79" t="s">
        <v>886</v>
      </c>
      <c r="D575" s="13" t="s">
        <v>606</v>
      </c>
      <c r="E575" s="13" t="s">
        <v>426</v>
      </c>
      <c r="F575" s="13">
        <v>5700.0</v>
      </c>
      <c r="G575" s="13">
        <v>5700.0</v>
      </c>
    </row>
    <row r="578">
      <c r="A578" s="13" t="s">
        <v>808</v>
      </c>
      <c r="B578" s="13"/>
      <c r="C578" s="79" t="s">
        <v>887</v>
      </c>
      <c r="D578" s="13" t="s">
        <v>888</v>
      </c>
      <c r="E578" s="13" t="s">
        <v>426</v>
      </c>
      <c r="F578" s="19">
        <v>19000.0</v>
      </c>
      <c r="G578" s="13">
        <v>19000.0</v>
      </c>
    </row>
    <row r="579">
      <c r="D579" s="13" t="s">
        <v>889</v>
      </c>
      <c r="E579" s="13" t="s">
        <v>429</v>
      </c>
      <c r="F579" s="13">
        <v>3000.0</v>
      </c>
      <c r="G579" s="13">
        <v>6000.0</v>
      </c>
    </row>
    <row r="582">
      <c r="A582" s="13" t="s">
        <v>521</v>
      </c>
      <c r="B582" s="13"/>
      <c r="C582" s="79" t="s">
        <v>890</v>
      </c>
      <c r="D582" s="13" t="s">
        <v>891</v>
      </c>
      <c r="E582" s="13">
        <v>1.0</v>
      </c>
      <c r="F582" s="13">
        <v>3500.0</v>
      </c>
      <c r="G582" s="13">
        <v>3500.0</v>
      </c>
    </row>
    <row r="585">
      <c r="A585" s="13" t="s">
        <v>757</v>
      </c>
      <c r="B585" s="13"/>
      <c r="C585" s="79" t="s">
        <v>892</v>
      </c>
      <c r="D585" s="13" t="s">
        <v>780</v>
      </c>
      <c r="E585" s="13" t="s">
        <v>426</v>
      </c>
      <c r="F585" s="19">
        <v>12000.0</v>
      </c>
      <c r="G585" s="13">
        <v>12000.0</v>
      </c>
    </row>
    <row r="588">
      <c r="A588" s="13" t="s">
        <v>893</v>
      </c>
      <c r="B588" s="13"/>
      <c r="C588" s="79" t="s">
        <v>894</v>
      </c>
      <c r="D588" s="13" t="s">
        <v>895</v>
      </c>
      <c r="E588" s="13">
        <v>1.0</v>
      </c>
      <c r="F588" s="13">
        <v>2500.0</v>
      </c>
      <c r="G588" s="13">
        <v>2500.0</v>
      </c>
    </row>
    <row r="590">
      <c r="A590" s="13" t="s">
        <v>896</v>
      </c>
      <c r="B590" s="13"/>
      <c r="C590" s="79" t="s">
        <v>897</v>
      </c>
      <c r="D590" s="13" t="s">
        <v>898</v>
      </c>
      <c r="E590" s="13">
        <v>1.0</v>
      </c>
      <c r="F590" s="13">
        <v>3500.0</v>
      </c>
      <c r="G590" s="13">
        <v>3500.0</v>
      </c>
    </row>
    <row r="591">
      <c r="D591" s="13" t="s">
        <v>899</v>
      </c>
      <c r="E591" s="13" t="s">
        <v>727</v>
      </c>
      <c r="F591" s="13">
        <v>3400.0</v>
      </c>
      <c r="G591" s="13">
        <v>3400.0</v>
      </c>
    </row>
    <row r="592">
      <c r="D592" s="13" t="s">
        <v>653</v>
      </c>
      <c r="E592" s="13" t="s">
        <v>426</v>
      </c>
      <c r="F592" s="13">
        <v>6600.0</v>
      </c>
      <c r="G592" s="13">
        <v>6600.0</v>
      </c>
    </row>
    <row r="595">
      <c r="A595" s="13" t="s">
        <v>757</v>
      </c>
      <c r="B595" s="13"/>
      <c r="C595" s="79" t="s">
        <v>501</v>
      </c>
      <c r="D595" s="13" t="s">
        <v>900</v>
      </c>
      <c r="E595" s="13">
        <v>1.0</v>
      </c>
      <c r="F595" s="13">
        <v>2500.0</v>
      </c>
      <c r="G595" s="13">
        <v>2500.0</v>
      </c>
    </row>
    <row r="596">
      <c r="D596" s="13" t="s">
        <v>781</v>
      </c>
      <c r="E596" s="13" t="s">
        <v>426</v>
      </c>
      <c r="F596" s="13">
        <v>3400.0</v>
      </c>
      <c r="G596" s="13">
        <v>6800.0</v>
      </c>
      <c r="H596" s="13"/>
    </row>
    <row r="597">
      <c r="D597" s="13" t="s">
        <v>790</v>
      </c>
      <c r="E597" s="13" t="s">
        <v>426</v>
      </c>
      <c r="F597" s="13">
        <v>19000.0</v>
      </c>
      <c r="G597" s="13">
        <v>19000.0</v>
      </c>
    </row>
    <row r="598">
      <c r="D598" s="13" t="s">
        <v>630</v>
      </c>
      <c r="E598" s="13" t="s">
        <v>426</v>
      </c>
      <c r="F598" s="13">
        <v>7000.0</v>
      </c>
      <c r="G598" s="13">
        <v>7000.0</v>
      </c>
    </row>
    <row r="599">
      <c r="A599" s="13" t="s">
        <v>792</v>
      </c>
      <c r="B599" s="13"/>
      <c r="C599" s="79" t="s">
        <v>901</v>
      </c>
      <c r="D599" s="13" t="s">
        <v>902</v>
      </c>
      <c r="E599" s="13">
        <v>1.0</v>
      </c>
      <c r="F599" s="13">
        <v>3500.0</v>
      </c>
      <c r="G599" s="13">
        <v>3500.0</v>
      </c>
    </row>
    <row r="600">
      <c r="D600" s="13" t="s">
        <v>630</v>
      </c>
      <c r="E600" s="13" t="s">
        <v>426</v>
      </c>
      <c r="F600" s="19">
        <v>7000.0</v>
      </c>
      <c r="G600" s="13">
        <v>7000.0</v>
      </c>
    </row>
    <row r="602">
      <c r="A602" s="13" t="s">
        <v>695</v>
      </c>
      <c r="B602" s="13"/>
      <c r="C602" s="79" t="s">
        <v>903</v>
      </c>
      <c r="D602" s="13" t="s">
        <v>549</v>
      </c>
      <c r="E602" s="13" t="s">
        <v>426</v>
      </c>
      <c r="F602" s="19">
        <v>17000.0</v>
      </c>
      <c r="G602" s="19">
        <v>17000.0</v>
      </c>
    </row>
    <row r="604">
      <c r="A604" s="13" t="s">
        <v>757</v>
      </c>
      <c r="B604" s="13"/>
      <c r="C604" s="79" t="s">
        <v>904</v>
      </c>
      <c r="D604" s="13" t="s">
        <v>905</v>
      </c>
      <c r="E604" s="13" t="s">
        <v>426</v>
      </c>
      <c r="F604" s="13">
        <v>5700.0</v>
      </c>
      <c r="G604" s="13">
        <v>5700.0</v>
      </c>
    </row>
    <row r="605">
      <c r="D605" s="13" t="s">
        <v>816</v>
      </c>
      <c r="E605" s="13" t="s">
        <v>426</v>
      </c>
      <c r="F605" s="13">
        <v>9250.0</v>
      </c>
      <c r="G605" s="13">
        <v>9250.0</v>
      </c>
    </row>
    <row r="608">
      <c r="C608" s="79" t="s">
        <v>482</v>
      </c>
      <c r="D608" s="13" t="s">
        <v>624</v>
      </c>
      <c r="E608" s="13" t="s">
        <v>434</v>
      </c>
      <c r="F608" s="13">
        <v>4400.0</v>
      </c>
      <c r="G608" s="19">
        <v>13200.0</v>
      </c>
    </row>
    <row r="609">
      <c r="D609" s="13" t="s">
        <v>906</v>
      </c>
      <c r="E609" s="13" t="s">
        <v>426</v>
      </c>
      <c r="F609" s="13">
        <v>9400.0</v>
      </c>
      <c r="G609" s="13">
        <v>9400.0</v>
      </c>
    </row>
    <row r="611">
      <c r="C611" s="79" t="s">
        <v>857</v>
      </c>
      <c r="D611" s="13" t="s">
        <v>907</v>
      </c>
      <c r="E611" s="13">
        <v>2.0</v>
      </c>
      <c r="F611" s="13">
        <v>2500.0</v>
      </c>
      <c r="G611" s="13">
        <v>5000.0</v>
      </c>
    </row>
    <row r="613">
      <c r="C613" s="79" t="s">
        <v>466</v>
      </c>
      <c r="D613" s="13" t="s">
        <v>558</v>
      </c>
      <c r="E613" s="13" t="s">
        <v>445</v>
      </c>
      <c r="F613" s="13">
        <v>4400.0</v>
      </c>
      <c r="G613" s="32">
        <f>4*F613</f>
        <v>17600</v>
      </c>
    </row>
    <row r="615">
      <c r="C615" s="79" t="s">
        <v>472</v>
      </c>
      <c r="D615" s="13" t="s">
        <v>558</v>
      </c>
      <c r="E615" s="13" t="s">
        <v>429</v>
      </c>
      <c r="F615" s="13">
        <v>4400.0</v>
      </c>
      <c r="G615" s="32">
        <f>2*F615</f>
        <v>8800</v>
      </c>
    </row>
    <row r="616">
      <c r="D616" s="13" t="s">
        <v>607</v>
      </c>
      <c r="E616" s="13" t="s">
        <v>426</v>
      </c>
      <c r="F616" s="13">
        <v>6600.0</v>
      </c>
      <c r="G616" s="13">
        <v>6600.0</v>
      </c>
    </row>
    <row r="617">
      <c r="C617" s="79"/>
      <c r="D617" s="13"/>
      <c r="E617" s="13"/>
      <c r="F617" s="19"/>
    </row>
    <row r="618">
      <c r="A618" s="13" t="s">
        <v>792</v>
      </c>
      <c r="B618" s="13"/>
      <c r="C618" s="79" t="s">
        <v>714</v>
      </c>
      <c r="D618" s="13" t="s">
        <v>790</v>
      </c>
      <c r="E618" s="13" t="s">
        <v>426</v>
      </c>
      <c r="F618" s="19">
        <v>16500.0</v>
      </c>
      <c r="G618" s="13">
        <v>16500.0</v>
      </c>
    </row>
    <row r="619">
      <c r="D619" s="13" t="s">
        <v>908</v>
      </c>
      <c r="F619" s="13">
        <v>6000.0</v>
      </c>
      <c r="G619" s="13">
        <v>6000.0</v>
      </c>
    </row>
    <row r="620">
      <c r="D620" s="13" t="s">
        <v>430</v>
      </c>
      <c r="E620" s="13" t="s">
        <v>426</v>
      </c>
      <c r="F620" s="13">
        <v>3300.0</v>
      </c>
      <c r="G620" s="13">
        <v>3300.0</v>
      </c>
    </row>
    <row r="621">
      <c r="D621" s="13" t="s">
        <v>909</v>
      </c>
      <c r="E621" s="13">
        <v>1.0</v>
      </c>
      <c r="F621" s="13">
        <v>5000.0</v>
      </c>
      <c r="G621" s="13">
        <v>5000.0</v>
      </c>
    </row>
    <row r="623">
      <c r="A623" s="13" t="s">
        <v>521</v>
      </c>
      <c r="B623" s="13"/>
      <c r="C623" s="79" t="s">
        <v>910</v>
      </c>
      <c r="D623" s="13" t="s">
        <v>911</v>
      </c>
      <c r="E623" s="13" t="s">
        <v>426</v>
      </c>
      <c r="F623" s="13">
        <v>12000.0</v>
      </c>
      <c r="G623" s="13">
        <v>12000.0</v>
      </c>
    </row>
    <row r="624">
      <c r="D624" s="13" t="s">
        <v>446</v>
      </c>
      <c r="E624" s="13" t="s">
        <v>426</v>
      </c>
      <c r="F624" s="13">
        <v>3500.0</v>
      </c>
      <c r="G624" s="13">
        <v>3500.0</v>
      </c>
    </row>
    <row r="625">
      <c r="D625" s="13" t="s">
        <v>586</v>
      </c>
      <c r="E625" s="13" t="s">
        <v>426</v>
      </c>
      <c r="F625" s="13">
        <v>4700.0</v>
      </c>
      <c r="G625" s="13">
        <v>4700.0</v>
      </c>
    </row>
    <row r="626">
      <c r="D626" s="13" t="s">
        <v>912</v>
      </c>
      <c r="E626" s="13" t="s">
        <v>426</v>
      </c>
      <c r="F626" s="13">
        <v>4400.0</v>
      </c>
      <c r="G626" s="13">
        <v>4400.0</v>
      </c>
    </row>
    <row r="627">
      <c r="D627" s="13" t="s">
        <v>913</v>
      </c>
      <c r="E627" s="13">
        <v>2.0</v>
      </c>
      <c r="F627" s="13">
        <v>2500.0</v>
      </c>
      <c r="G627" s="32">
        <f>2*2500</f>
        <v>5000</v>
      </c>
    </row>
    <row r="628">
      <c r="D628" s="13" t="s">
        <v>914</v>
      </c>
      <c r="E628" s="13">
        <v>1.0</v>
      </c>
      <c r="F628" s="13">
        <v>4200.0</v>
      </c>
      <c r="G628" s="13">
        <v>4200.0</v>
      </c>
    </row>
    <row r="629">
      <c r="D629" s="13" t="s">
        <v>915</v>
      </c>
      <c r="E629" s="13" t="s">
        <v>426</v>
      </c>
      <c r="F629" s="13">
        <v>6600.0</v>
      </c>
      <c r="G629" s="13">
        <v>6600.0</v>
      </c>
    </row>
    <row r="631">
      <c r="C631" s="79" t="s">
        <v>542</v>
      </c>
      <c r="D631" s="13" t="s">
        <v>908</v>
      </c>
      <c r="E631" s="13" t="s">
        <v>426</v>
      </c>
      <c r="F631" s="13">
        <v>6000.0</v>
      </c>
      <c r="G631" s="13">
        <v>6000.0</v>
      </c>
    </row>
    <row r="632">
      <c r="D632" s="13" t="s">
        <v>630</v>
      </c>
      <c r="E632" s="13" t="s">
        <v>434</v>
      </c>
      <c r="F632" s="13">
        <v>5160.0</v>
      </c>
      <c r="G632" s="13">
        <f>5160*3</f>
        <v>15480</v>
      </c>
    </row>
    <row r="634">
      <c r="A634" s="13" t="s">
        <v>916</v>
      </c>
      <c r="B634" s="13"/>
      <c r="C634" s="79" t="s">
        <v>917</v>
      </c>
      <c r="D634" s="13" t="s">
        <v>908</v>
      </c>
      <c r="E634" s="84">
        <v>45689.0</v>
      </c>
      <c r="F634" s="13">
        <v>5000.0</v>
      </c>
      <c r="G634" s="13">
        <v>5000.0</v>
      </c>
    </row>
    <row r="636">
      <c r="A636" s="13" t="s">
        <v>811</v>
      </c>
      <c r="B636" s="13"/>
      <c r="C636" s="79" t="s">
        <v>918</v>
      </c>
      <c r="D636" s="13" t="s">
        <v>908</v>
      </c>
      <c r="E636" s="84">
        <v>45689.0</v>
      </c>
      <c r="F636" s="13">
        <v>5000.0</v>
      </c>
      <c r="G636" s="13">
        <v>5000.0</v>
      </c>
    </row>
    <row r="638">
      <c r="A638" s="13" t="s">
        <v>783</v>
      </c>
      <c r="B638" s="13"/>
      <c r="C638" s="79" t="s">
        <v>919</v>
      </c>
      <c r="D638" s="13" t="s">
        <v>908</v>
      </c>
      <c r="E638" s="84">
        <v>45689.0</v>
      </c>
      <c r="F638" s="13">
        <v>5000.0</v>
      </c>
      <c r="G638" s="13">
        <v>5000.0</v>
      </c>
    </row>
    <row r="640">
      <c r="A640" s="13" t="s">
        <v>783</v>
      </c>
      <c r="B640" s="13"/>
      <c r="C640" s="79" t="s">
        <v>920</v>
      </c>
      <c r="D640" s="13" t="s">
        <v>908</v>
      </c>
      <c r="E640" s="84">
        <v>45689.0</v>
      </c>
      <c r="F640" s="13">
        <v>5000.0</v>
      </c>
      <c r="G640" s="13">
        <v>5000.0</v>
      </c>
    </row>
    <row r="642">
      <c r="C642" s="79" t="s">
        <v>921</v>
      </c>
      <c r="D642" s="13" t="s">
        <v>908</v>
      </c>
      <c r="E642" s="13" t="s">
        <v>693</v>
      </c>
      <c r="F642" s="13">
        <v>9000.0</v>
      </c>
      <c r="G642" s="13">
        <v>9000.0</v>
      </c>
    </row>
    <row r="643">
      <c r="H643" s="13">
        <v>74230.0</v>
      </c>
      <c r="I643" s="13" t="s">
        <v>922</v>
      </c>
    </row>
    <row r="645">
      <c r="A645" s="78">
        <v>45837.0</v>
      </c>
      <c r="B645" s="78"/>
      <c r="C645" s="79" t="s">
        <v>923</v>
      </c>
      <c r="F645" s="13">
        <v>9000.0</v>
      </c>
      <c r="G645" s="13">
        <v>9000.0</v>
      </c>
    </row>
    <row r="646">
      <c r="C646" s="13" t="s">
        <v>783</v>
      </c>
      <c r="D646" s="13" t="s">
        <v>640</v>
      </c>
      <c r="E646" s="13" t="s">
        <v>426</v>
      </c>
      <c r="F646" s="13">
        <v>5700.0</v>
      </c>
      <c r="G646" s="13">
        <v>5700.0</v>
      </c>
    </row>
    <row r="647">
      <c r="D647" s="13" t="s">
        <v>924</v>
      </c>
      <c r="E647" s="13" t="s">
        <v>426</v>
      </c>
    </row>
    <row r="648">
      <c r="D648" s="13" t="s">
        <v>925</v>
      </c>
      <c r="E648" s="13" t="s">
        <v>752</v>
      </c>
      <c r="F648" s="13">
        <v>3500.0</v>
      </c>
      <c r="G648" s="13">
        <v>3500.0</v>
      </c>
    </row>
    <row r="649">
      <c r="D649" s="13" t="s">
        <v>174</v>
      </c>
      <c r="E649" s="13">
        <v>1.0</v>
      </c>
      <c r="F649" s="13">
        <v>2500.0</v>
      </c>
      <c r="G649" s="13">
        <v>2500.0</v>
      </c>
    </row>
    <row r="650">
      <c r="D650" s="13" t="s">
        <v>926</v>
      </c>
      <c r="E650" s="13">
        <v>1.0</v>
      </c>
      <c r="F650" s="13">
        <v>5000.0</v>
      </c>
      <c r="G650" s="13">
        <v>5000.0</v>
      </c>
    </row>
    <row r="652">
      <c r="A652" s="13" t="s">
        <v>927</v>
      </c>
      <c r="B652" s="13"/>
      <c r="C652" s="79" t="s">
        <v>904</v>
      </c>
      <c r="D652" s="13" t="s">
        <v>437</v>
      </c>
      <c r="E652" s="13" t="s">
        <v>426</v>
      </c>
      <c r="F652" s="13">
        <v>9250.0</v>
      </c>
      <c r="G652" s="13">
        <v>9250.0</v>
      </c>
    </row>
    <row r="654">
      <c r="A654" s="13" t="s">
        <v>928</v>
      </c>
      <c r="B654" s="13"/>
      <c r="C654" s="79" t="s">
        <v>929</v>
      </c>
      <c r="D654" s="13" t="s">
        <v>908</v>
      </c>
      <c r="E654" s="84">
        <v>45689.0</v>
      </c>
      <c r="F654" s="13">
        <v>4000.0</v>
      </c>
      <c r="G654" s="13">
        <v>4000.0</v>
      </c>
    </row>
    <row r="656">
      <c r="C656" s="14"/>
      <c r="D656" s="13"/>
      <c r="E656" s="13"/>
      <c r="F656" s="13"/>
    </row>
    <row r="658">
      <c r="A658" s="13" t="s">
        <v>928</v>
      </c>
      <c r="B658" s="13"/>
      <c r="C658" s="79" t="s">
        <v>638</v>
      </c>
      <c r="D658" s="13" t="s">
        <v>780</v>
      </c>
      <c r="E658" s="13" t="s">
        <v>426</v>
      </c>
      <c r="F658" s="13">
        <v>12000.0</v>
      </c>
      <c r="G658" s="13">
        <v>12000.0</v>
      </c>
    </row>
    <row r="659">
      <c r="D659" s="13" t="s">
        <v>640</v>
      </c>
      <c r="E659" s="13" t="s">
        <v>426</v>
      </c>
      <c r="F659" s="13">
        <v>5700.0</v>
      </c>
      <c r="G659" s="13">
        <v>5700.0</v>
      </c>
    </row>
    <row r="660">
      <c r="D660" s="13" t="s">
        <v>174</v>
      </c>
      <c r="E660" s="13" t="s">
        <v>426</v>
      </c>
      <c r="F660" s="13">
        <v>2500.0</v>
      </c>
      <c r="G660" s="13">
        <v>2500.0</v>
      </c>
    </row>
    <row r="661">
      <c r="D661" s="13" t="s">
        <v>930</v>
      </c>
      <c r="E661" s="13" t="s">
        <v>727</v>
      </c>
      <c r="F661" s="13">
        <v>3000.0</v>
      </c>
      <c r="G661" s="13">
        <v>3000.0</v>
      </c>
    </row>
    <row r="662">
      <c r="D662" s="13" t="s">
        <v>579</v>
      </c>
      <c r="E662" s="13" t="s">
        <v>426</v>
      </c>
      <c r="F662" s="13">
        <v>1100.0</v>
      </c>
      <c r="G662" s="13">
        <v>1100.0</v>
      </c>
    </row>
    <row r="663">
      <c r="C663" s="14"/>
      <c r="D663" s="13"/>
      <c r="E663" s="13"/>
    </row>
    <row r="664">
      <c r="A664" s="13" t="s">
        <v>927</v>
      </c>
      <c r="B664" s="13"/>
      <c r="C664" s="79" t="s">
        <v>809</v>
      </c>
      <c r="D664" s="13" t="s">
        <v>931</v>
      </c>
      <c r="E664" s="13" t="s">
        <v>426</v>
      </c>
    </row>
    <row r="665">
      <c r="D665" s="13" t="s">
        <v>932</v>
      </c>
      <c r="E665" s="13" t="s">
        <v>426</v>
      </c>
      <c r="F665" s="13">
        <v>17000.0</v>
      </c>
      <c r="G665" s="13">
        <v>17000.0</v>
      </c>
    </row>
    <row r="666">
      <c r="D666" s="13" t="s">
        <v>933</v>
      </c>
      <c r="E666" s="13" t="s">
        <v>426</v>
      </c>
      <c r="F666" s="13">
        <v>4700.0</v>
      </c>
      <c r="G666" s="13">
        <v>4700.0</v>
      </c>
    </row>
    <row r="667">
      <c r="D667" s="13" t="s">
        <v>600</v>
      </c>
      <c r="E667" s="13" t="s">
        <v>426</v>
      </c>
      <c r="F667" s="13">
        <v>5800.0</v>
      </c>
      <c r="G667" s="13">
        <v>5800.0</v>
      </c>
    </row>
    <row r="668">
      <c r="D668" s="13" t="s">
        <v>555</v>
      </c>
      <c r="E668" s="13" t="s">
        <v>426</v>
      </c>
      <c r="F668" s="13">
        <v>4100.0</v>
      </c>
      <c r="G668" s="13">
        <v>4100.0</v>
      </c>
    </row>
    <row r="669">
      <c r="D669" s="13" t="s">
        <v>558</v>
      </c>
      <c r="E669" s="13" t="s">
        <v>426</v>
      </c>
    </row>
    <row r="670">
      <c r="D670" s="13" t="s">
        <v>607</v>
      </c>
      <c r="E670" s="13" t="s">
        <v>429</v>
      </c>
      <c r="F670" s="13">
        <v>6600.0</v>
      </c>
      <c r="G670" s="13">
        <v>13200.0</v>
      </c>
    </row>
    <row r="671">
      <c r="D671" s="13" t="s">
        <v>934</v>
      </c>
      <c r="E671" s="13" t="s">
        <v>426</v>
      </c>
      <c r="F671" s="13">
        <v>9400.0</v>
      </c>
      <c r="G671" s="13">
        <v>9400.0</v>
      </c>
    </row>
    <row r="672">
      <c r="D672" s="13" t="s">
        <v>580</v>
      </c>
      <c r="E672" s="13" t="s">
        <v>426</v>
      </c>
      <c r="F672" s="13">
        <v>2500.0</v>
      </c>
      <c r="G672" s="13">
        <v>2500.0</v>
      </c>
    </row>
    <row r="674">
      <c r="A674" s="13" t="s">
        <v>783</v>
      </c>
      <c r="B674" s="13"/>
      <c r="C674" s="79" t="s">
        <v>935</v>
      </c>
      <c r="D674" s="13" t="s">
        <v>635</v>
      </c>
      <c r="E674" s="13" t="s">
        <v>426</v>
      </c>
      <c r="F674" s="13">
        <v>7000.0</v>
      </c>
      <c r="G674" s="13">
        <v>7000.0</v>
      </c>
    </row>
    <row r="676">
      <c r="A676" s="13" t="s">
        <v>936</v>
      </c>
      <c r="B676" s="13"/>
      <c r="C676" s="79" t="s">
        <v>875</v>
      </c>
      <c r="D676" s="13" t="s">
        <v>937</v>
      </c>
      <c r="E676" s="13" t="s">
        <v>429</v>
      </c>
      <c r="F676" s="13">
        <v>4100.0</v>
      </c>
      <c r="G676" s="13">
        <v>8200.0</v>
      </c>
      <c r="H676" s="13" t="s">
        <v>938</v>
      </c>
    </row>
    <row r="677">
      <c r="D677" s="13" t="s">
        <v>939</v>
      </c>
      <c r="E677" s="13" t="s">
        <v>426</v>
      </c>
      <c r="F677" s="13">
        <v>4700.0</v>
      </c>
      <c r="G677" s="13">
        <v>4700.0</v>
      </c>
      <c r="H677" s="13"/>
    </row>
    <row r="678">
      <c r="D678" s="13" t="s">
        <v>940</v>
      </c>
      <c r="E678" s="13" t="s">
        <v>429</v>
      </c>
      <c r="F678" s="13">
        <v>3500.0</v>
      </c>
      <c r="G678" s="13">
        <v>7000.0</v>
      </c>
      <c r="H678" s="13" t="s">
        <v>938</v>
      </c>
    </row>
    <row r="679">
      <c r="D679" s="13" t="s">
        <v>425</v>
      </c>
      <c r="E679" s="13" t="s">
        <v>426</v>
      </c>
      <c r="F679" s="13">
        <v>7700.0</v>
      </c>
      <c r="G679" s="13">
        <v>7700.0</v>
      </c>
    </row>
    <row r="680">
      <c r="D680" s="13" t="s">
        <v>941</v>
      </c>
      <c r="E680" s="13" t="s">
        <v>426</v>
      </c>
      <c r="F680" s="13">
        <v>8700.0</v>
      </c>
      <c r="G680" s="13">
        <v>8700.0</v>
      </c>
    </row>
    <row r="682">
      <c r="A682" s="13" t="s">
        <v>942</v>
      </c>
      <c r="B682" s="13"/>
      <c r="C682" s="79" t="s">
        <v>943</v>
      </c>
      <c r="D682" s="13" t="s">
        <v>944</v>
      </c>
      <c r="E682" s="13" t="s">
        <v>426</v>
      </c>
      <c r="F682" s="13">
        <v>14500.0</v>
      </c>
      <c r="G682" s="13">
        <v>14500.0</v>
      </c>
    </row>
    <row r="683">
      <c r="D683" s="13" t="s">
        <v>945</v>
      </c>
      <c r="E683" s="13" t="s">
        <v>426</v>
      </c>
      <c r="F683" s="13">
        <v>7500.0</v>
      </c>
      <c r="G683" s="13">
        <v>7500.0</v>
      </c>
    </row>
    <row r="684">
      <c r="D684" s="13" t="s">
        <v>946</v>
      </c>
      <c r="E684" s="13">
        <v>1.0</v>
      </c>
      <c r="F684" s="13">
        <v>2500.0</v>
      </c>
      <c r="G684" s="13">
        <v>2500.0</v>
      </c>
    </row>
    <row r="685">
      <c r="D685" s="13" t="s">
        <v>447</v>
      </c>
      <c r="E685" s="13" t="s">
        <v>426</v>
      </c>
      <c r="F685" s="13">
        <v>13200.0</v>
      </c>
      <c r="G685" s="13">
        <v>13200.0</v>
      </c>
    </row>
    <row r="686">
      <c r="D686" s="13" t="s">
        <v>947</v>
      </c>
      <c r="E686" s="13" t="s">
        <v>426</v>
      </c>
      <c r="F686" s="13">
        <v>15000.0</v>
      </c>
      <c r="G686" s="13">
        <v>15000.0</v>
      </c>
    </row>
    <row r="688">
      <c r="A688" s="13" t="s">
        <v>928</v>
      </c>
      <c r="B688" s="13"/>
      <c r="C688" s="79" t="s">
        <v>948</v>
      </c>
      <c r="D688" s="13" t="s">
        <v>949</v>
      </c>
      <c r="E688" s="13">
        <v>1.0</v>
      </c>
      <c r="F688" s="13">
        <v>4200.0</v>
      </c>
      <c r="G688" s="13">
        <v>4200.0</v>
      </c>
    </row>
    <row r="689">
      <c r="D689" s="13" t="s">
        <v>950</v>
      </c>
      <c r="E689" s="13" t="s">
        <v>426</v>
      </c>
      <c r="F689" s="13">
        <v>4100.0</v>
      </c>
      <c r="G689" s="13">
        <v>4100.0</v>
      </c>
    </row>
    <row r="690">
      <c r="D690" s="13" t="s">
        <v>425</v>
      </c>
      <c r="E690" s="13" t="s">
        <v>426</v>
      </c>
      <c r="F690" s="13">
        <v>7700.0</v>
      </c>
      <c r="G690" s="13">
        <v>7700.0</v>
      </c>
    </row>
    <row r="691">
      <c r="D691" s="13" t="s">
        <v>951</v>
      </c>
      <c r="E691" s="13" t="s">
        <v>752</v>
      </c>
      <c r="F691" s="19">
        <v>27400.0</v>
      </c>
      <c r="G691" s="13">
        <v>27400.0</v>
      </c>
    </row>
    <row r="692">
      <c r="D692" s="13" t="s">
        <v>771</v>
      </c>
      <c r="E692" s="13">
        <v>1.0</v>
      </c>
      <c r="F692" s="13">
        <v>1000.0</v>
      </c>
      <c r="G692" s="13">
        <v>1000.0</v>
      </c>
    </row>
    <row r="694">
      <c r="A694" s="13" t="s">
        <v>952</v>
      </c>
      <c r="B694" s="13"/>
      <c r="C694" s="79" t="s">
        <v>953</v>
      </c>
      <c r="D694" s="13" t="s">
        <v>824</v>
      </c>
      <c r="E694" s="13" t="s">
        <v>426</v>
      </c>
      <c r="F694" s="13">
        <v>8700.0</v>
      </c>
      <c r="G694" s="13">
        <v>8700.0</v>
      </c>
    </row>
    <row r="695">
      <c r="D695" s="13" t="s">
        <v>675</v>
      </c>
      <c r="E695" s="13" t="s">
        <v>426</v>
      </c>
      <c r="F695" s="13">
        <v>2400.0</v>
      </c>
      <c r="G695" s="13">
        <v>2400.0</v>
      </c>
    </row>
    <row r="696">
      <c r="D696" s="13" t="s">
        <v>954</v>
      </c>
      <c r="E696" s="13" t="s">
        <v>426</v>
      </c>
    </row>
    <row r="697">
      <c r="D697" s="13" t="s">
        <v>579</v>
      </c>
      <c r="E697" s="13" t="s">
        <v>426</v>
      </c>
      <c r="F697" s="13">
        <v>1100.0</v>
      </c>
      <c r="G697" s="13">
        <v>1100.0</v>
      </c>
    </row>
    <row r="698">
      <c r="D698" s="13" t="s">
        <v>955</v>
      </c>
      <c r="E698" s="13" t="s">
        <v>727</v>
      </c>
      <c r="F698" s="13">
        <v>3400.0</v>
      </c>
      <c r="G698" s="13">
        <v>3400.0</v>
      </c>
    </row>
    <row r="699">
      <c r="D699" s="13" t="s">
        <v>956</v>
      </c>
      <c r="E699" s="13" t="s">
        <v>426</v>
      </c>
    </row>
    <row r="700">
      <c r="D700" s="13" t="s">
        <v>957</v>
      </c>
      <c r="E700" s="13" t="s">
        <v>727</v>
      </c>
      <c r="F700" s="13">
        <v>1700.0</v>
      </c>
      <c r="G700" s="13">
        <v>1700.0</v>
      </c>
    </row>
    <row r="701">
      <c r="D701" s="13" t="s">
        <v>958</v>
      </c>
      <c r="E701" s="13">
        <v>1.0</v>
      </c>
      <c r="F701" s="13">
        <v>4200.0</v>
      </c>
      <c r="G701" s="13">
        <v>4200.0</v>
      </c>
    </row>
    <row r="703">
      <c r="C703" s="79" t="s">
        <v>542</v>
      </c>
      <c r="D703" s="13" t="s">
        <v>959</v>
      </c>
      <c r="E703" s="13" t="s">
        <v>426</v>
      </c>
      <c r="F703" s="13">
        <v>3600.0</v>
      </c>
      <c r="G703" s="13">
        <v>3600.0</v>
      </c>
    </row>
    <row r="706">
      <c r="A706" s="13" t="s">
        <v>960</v>
      </c>
      <c r="B706" s="13"/>
      <c r="C706" s="79" t="s">
        <v>961</v>
      </c>
      <c r="D706" s="13" t="s">
        <v>888</v>
      </c>
      <c r="E706" s="13" t="s">
        <v>429</v>
      </c>
      <c r="F706" s="13">
        <v>19000.0</v>
      </c>
      <c r="G706" s="13">
        <v>38000.0</v>
      </c>
    </row>
    <row r="707">
      <c r="D707" s="13" t="s">
        <v>908</v>
      </c>
      <c r="E707" s="13" t="s">
        <v>426</v>
      </c>
      <c r="F707" s="13">
        <v>7000.0</v>
      </c>
      <c r="G707" s="13">
        <v>7000.0</v>
      </c>
    </row>
    <row r="709">
      <c r="C709" s="79" t="s">
        <v>460</v>
      </c>
      <c r="D709" s="13" t="s">
        <v>444</v>
      </c>
      <c r="E709" s="13" t="s">
        <v>539</v>
      </c>
      <c r="F709" s="13">
        <v>10500.0</v>
      </c>
      <c r="G709" s="13">
        <v>10500.0</v>
      </c>
    </row>
    <row r="711">
      <c r="A711" s="13" t="s">
        <v>928</v>
      </c>
      <c r="B711" s="13"/>
      <c r="C711" s="79" t="s">
        <v>962</v>
      </c>
      <c r="D711" s="13" t="s">
        <v>540</v>
      </c>
      <c r="E711" s="13" t="s">
        <v>426</v>
      </c>
      <c r="F711" s="13">
        <v>3000.0</v>
      </c>
      <c r="G711" s="13">
        <v>3000.0</v>
      </c>
    </row>
    <row r="712">
      <c r="D712" s="13" t="s">
        <v>963</v>
      </c>
      <c r="E712" s="13" t="s">
        <v>426</v>
      </c>
      <c r="F712" s="13">
        <v>8700.0</v>
      </c>
      <c r="G712" s="13">
        <v>8700.0</v>
      </c>
    </row>
    <row r="713">
      <c r="D713" s="13" t="s">
        <v>606</v>
      </c>
      <c r="E713" s="13" t="s">
        <v>426</v>
      </c>
      <c r="F713" s="13">
        <v>5700.0</v>
      </c>
      <c r="G713" s="13">
        <v>5700.0</v>
      </c>
    </row>
    <row r="714">
      <c r="D714" s="13" t="s">
        <v>964</v>
      </c>
      <c r="E714" s="13" t="s">
        <v>426</v>
      </c>
      <c r="F714" s="13">
        <v>4700.0</v>
      </c>
      <c r="G714" s="13">
        <v>4700.0</v>
      </c>
    </row>
    <row r="715">
      <c r="D715" s="13" t="s">
        <v>552</v>
      </c>
      <c r="E715" s="13" t="s">
        <v>539</v>
      </c>
      <c r="F715" s="13">
        <v>7700.0</v>
      </c>
      <c r="G715" s="13">
        <v>7700.0</v>
      </c>
    </row>
    <row r="716">
      <c r="I716" s="13">
        <v>74340.0</v>
      </c>
      <c r="J716" s="13" t="s">
        <v>965</v>
      </c>
    </row>
    <row r="718">
      <c r="A718" s="78">
        <v>45844.0</v>
      </c>
      <c r="B718" s="78"/>
      <c r="C718" s="79" t="s">
        <v>966</v>
      </c>
      <c r="D718" s="13" t="s">
        <v>956</v>
      </c>
      <c r="E718" s="13">
        <v>1.0</v>
      </c>
      <c r="F718" s="13">
        <v>3500.0</v>
      </c>
      <c r="G718" s="13">
        <v>3500.0</v>
      </c>
    </row>
    <row r="719">
      <c r="A719" s="13" t="s">
        <v>967</v>
      </c>
      <c r="B719" s="13"/>
      <c r="D719" s="13" t="s">
        <v>968</v>
      </c>
      <c r="E719" s="13" t="s">
        <v>426</v>
      </c>
      <c r="F719" s="13">
        <v>4400.0</v>
      </c>
      <c r="G719" s="13">
        <v>4400.0</v>
      </c>
    </row>
    <row r="721">
      <c r="A721" s="13" t="s">
        <v>969</v>
      </c>
      <c r="B721" s="13"/>
      <c r="C721" s="79" t="s">
        <v>970</v>
      </c>
      <c r="D721" s="13" t="s">
        <v>971</v>
      </c>
      <c r="E721" s="13" t="s">
        <v>693</v>
      </c>
      <c r="F721" s="13">
        <v>5000.0</v>
      </c>
      <c r="G721" s="13">
        <v>5000.0</v>
      </c>
    </row>
    <row r="722">
      <c r="D722" s="13" t="s">
        <v>972</v>
      </c>
      <c r="E722" s="13" t="s">
        <v>426</v>
      </c>
      <c r="F722" s="13">
        <v>8700.0</v>
      </c>
      <c r="G722" s="13">
        <v>8700.0</v>
      </c>
    </row>
    <row r="724">
      <c r="A724" s="13" t="s">
        <v>967</v>
      </c>
      <c r="B724" s="13"/>
      <c r="C724" s="79" t="s">
        <v>973</v>
      </c>
      <c r="D724" s="13" t="s">
        <v>924</v>
      </c>
      <c r="E724" s="13" t="s">
        <v>429</v>
      </c>
      <c r="F724" s="13">
        <v>4400.0</v>
      </c>
      <c r="G724" s="13">
        <v>8800.0</v>
      </c>
    </row>
    <row r="725">
      <c r="D725" s="13" t="s">
        <v>974</v>
      </c>
      <c r="E725" s="13" t="s">
        <v>426</v>
      </c>
      <c r="F725" s="13">
        <v>6500.0</v>
      </c>
      <c r="G725" s="13">
        <v>6500.0</v>
      </c>
    </row>
    <row r="727">
      <c r="A727" s="13" t="s">
        <v>975</v>
      </c>
      <c r="B727" s="13"/>
      <c r="C727" s="79" t="s">
        <v>976</v>
      </c>
      <c r="D727" s="13" t="s">
        <v>977</v>
      </c>
      <c r="E727" s="13">
        <v>3.0</v>
      </c>
      <c r="F727" s="13">
        <v>3500.0</v>
      </c>
      <c r="G727" s="19">
        <v>10500.0</v>
      </c>
    </row>
    <row r="730">
      <c r="A730" s="13" t="s">
        <v>928</v>
      </c>
      <c r="B730" s="13"/>
      <c r="C730" s="79" t="s">
        <v>978</v>
      </c>
      <c r="D730" s="13" t="s">
        <v>813</v>
      </c>
      <c r="E730" s="13" t="s">
        <v>426</v>
      </c>
      <c r="F730" s="19">
        <v>33000.0</v>
      </c>
      <c r="G730" s="19">
        <v>33000.0</v>
      </c>
    </row>
    <row r="732">
      <c r="A732" s="13" t="s">
        <v>967</v>
      </c>
      <c r="B732" s="13"/>
      <c r="C732" s="79" t="s">
        <v>910</v>
      </c>
      <c r="D732" s="13" t="s">
        <v>979</v>
      </c>
      <c r="E732" s="13" t="s">
        <v>426</v>
      </c>
      <c r="F732" s="13">
        <v>12200.0</v>
      </c>
      <c r="G732" s="13">
        <v>12200.0</v>
      </c>
      <c r="H732" s="86">
        <f>SUM(G732:G736)</f>
        <v>48100</v>
      </c>
    </row>
    <row r="733">
      <c r="D733" s="13" t="s">
        <v>632</v>
      </c>
      <c r="E733" s="13" t="s">
        <v>426</v>
      </c>
      <c r="F733" s="13">
        <v>2500.0</v>
      </c>
      <c r="G733" s="13">
        <v>2500.0</v>
      </c>
    </row>
    <row r="734">
      <c r="D734" s="13" t="s">
        <v>980</v>
      </c>
      <c r="E734" s="13">
        <v>2.0</v>
      </c>
      <c r="F734" s="13">
        <v>2500.0</v>
      </c>
      <c r="G734" s="32">
        <f>2*2500</f>
        <v>5000</v>
      </c>
    </row>
    <row r="735">
      <c r="D735" s="13" t="s">
        <v>558</v>
      </c>
      <c r="E735" s="13" t="s">
        <v>426</v>
      </c>
      <c r="F735" s="13">
        <v>4400.0</v>
      </c>
      <c r="G735" s="13">
        <v>4400.0</v>
      </c>
    </row>
    <row r="736">
      <c r="D736" s="13" t="s">
        <v>732</v>
      </c>
      <c r="E736" s="13" t="s">
        <v>429</v>
      </c>
      <c r="F736" s="13">
        <v>12000.0</v>
      </c>
      <c r="G736" s="13">
        <v>24000.0</v>
      </c>
    </row>
    <row r="739">
      <c r="A739" s="13" t="s">
        <v>981</v>
      </c>
      <c r="B739" s="13"/>
      <c r="C739" s="79" t="s">
        <v>982</v>
      </c>
      <c r="D739" s="13" t="s">
        <v>983</v>
      </c>
      <c r="E739" s="13" t="s">
        <v>426</v>
      </c>
      <c r="F739" s="19">
        <v>13500.0</v>
      </c>
      <c r="G739" s="13">
        <v>13500.0</v>
      </c>
    </row>
    <row r="740">
      <c r="D740" s="13" t="s">
        <v>799</v>
      </c>
      <c r="E740" s="13" t="s">
        <v>426</v>
      </c>
      <c r="F740" s="19">
        <v>17000.0</v>
      </c>
      <c r="G740" s="13">
        <v>17000.0</v>
      </c>
    </row>
    <row r="742">
      <c r="A742" s="13" t="s">
        <v>936</v>
      </c>
      <c r="B742" s="13"/>
      <c r="C742" s="79" t="s">
        <v>890</v>
      </c>
      <c r="D742" s="13" t="s">
        <v>984</v>
      </c>
      <c r="E742" s="13">
        <v>2.0</v>
      </c>
      <c r="F742" s="13">
        <v>3500.0</v>
      </c>
      <c r="G742" s="13">
        <v>7000.0</v>
      </c>
    </row>
    <row r="745">
      <c r="A745" s="13" t="s">
        <v>985</v>
      </c>
      <c r="B745" s="13"/>
      <c r="C745" s="79" t="s">
        <v>986</v>
      </c>
      <c r="D745" s="13" t="s">
        <v>732</v>
      </c>
      <c r="E745" s="13" t="s">
        <v>426</v>
      </c>
      <c r="F745" s="13">
        <v>12000.0</v>
      </c>
      <c r="G745" s="13">
        <v>12000.0</v>
      </c>
    </row>
    <row r="747">
      <c r="A747" s="13" t="s">
        <v>981</v>
      </c>
      <c r="B747" s="13"/>
      <c r="C747" s="79" t="s">
        <v>987</v>
      </c>
      <c r="D747" s="13" t="s">
        <v>558</v>
      </c>
      <c r="E747" s="13" t="s">
        <v>426</v>
      </c>
      <c r="F747" s="13">
        <v>4400.0</v>
      </c>
      <c r="G747" s="13">
        <v>4400.0</v>
      </c>
    </row>
    <row r="748">
      <c r="D748" s="13" t="s">
        <v>988</v>
      </c>
      <c r="E748" s="13" t="s">
        <v>426</v>
      </c>
      <c r="F748" s="13">
        <v>5000.0</v>
      </c>
      <c r="G748" s="13">
        <v>5000.0</v>
      </c>
    </row>
    <row r="749">
      <c r="D749" s="13" t="s">
        <v>989</v>
      </c>
      <c r="E749" s="13">
        <v>2.0</v>
      </c>
      <c r="F749" s="13">
        <v>1700.0</v>
      </c>
      <c r="G749" s="32">
        <f>F749*E749</f>
        <v>3400</v>
      </c>
    </row>
    <row r="750">
      <c r="D750" s="13" t="s">
        <v>823</v>
      </c>
      <c r="E750" s="13" t="s">
        <v>426</v>
      </c>
      <c r="F750" s="13">
        <v>3000.0</v>
      </c>
      <c r="G750" s="13">
        <v>3000.0</v>
      </c>
    </row>
    <row r="751">
      <c r="D751" s="13" t="s">
        <v>583</v>
      </c>
      <c r="E751" s="13" t="s">
        <v>426</v>
      </c>
      <c r="F751" s="13">
        <v>4100.0</v>
      </c>
      <c r="G751" s="13">
        <v>4100.0</v>
      </c>
    </row>
    <row r="752">
      <c r="D752" s="13" t="s">
        <v>908</v>
      </c>
      <c r="E752" s="84">
        <v>45689.0</v>
      </c>
      <c r="F752" s="13">
        <v>3500.0</v>
      </c>
      <c r="G752" s="13">
        <v>3500.0</v>
      </c>
    </row>
    <row r="753">
      <c r="A753" s="13"/>
      <c r="B753" s="13"/>
      <c r="C753" s="79"/>
      <c r="D753" s="13"/>
      <c r="E753" s="13"/>
      <c r="F753" s="13"/>
      <c r="G753" s="13"/>
    </row>
    <row r="754">
      <c r="A754" s="13" t="s">
        <v>981</v>
      </c>
      <c r="B754" s="13"/>
      <c r="C754" s="79" t="s">
        <v>935</v>
      </c>
      <c r="D754" s="13" t="s">
        <v>823</v>
      </c>
      <c r="E754" s="13" t="s">
        <v>426</v>
      </c>
      <c r="F754" s="13">
        <v>3000.0</v>
      </c>
      <c r="G754" s="13">
        <v>3000.0</v>
      </c>
    </row>
    <row r="756">
      <c r="A756" s="13" t="s">
        <v>808</v>
      </c>
      <c r="B756" s="13"/>
      <c r="C756" s="79" t="s">
        <v>990</v>
      </c>
      <c r="D756" s="13" t="s">
        <v>732</v>
      </c>
      <c r="E756" s="13" t="s">
        <v>426</v>
      </c>
      <c r="F756" s="13">
        <v>12000.0</v>
      </c>
      <c r="G756" s="13">
        <v>12000.0</v>
      </c>
    </row>
    <row r="758">
      <c r="C758" s="79" t="s">
        <v>542</v>
      </c>
      <c r="D758" s="13" t="s">
        <v>558</v>
      </c>
      <c r="E758" s="13" t="s">
        <v>426</v>
      </c>
      <c r="F758" s="13">
        <v>3600.0</v>
      </c>
      <c r="G758" s="13">
        <v>3600.0</v>
      </c>
      <c r="I758" s="13" t="s">
        <v>514</v>
      </c>
    </row>
    <row r="759">
      <c r="D759" s="13" t="s">
        <v>991</v>
      </c>
      <c r="E759" s="13" t="s">
        <v>426</v>
      </c>
      <c r="F759" s="13">
        <v>13100.0</v>
      </c>
      <c r="G759" s="13">
        <v>13100.0</v>
      </c>
    </row>
    <row r="761">
      <c r="A761" s="13" t="s">
        <v>981</v>
      </c>
      <c r="B761" s="13"/>
      <c r="C761" s="79" t="s">
        <v>992</v>
      </c>
      <c r="D761" s="13" t="s">
        <v>993</v>
      </c>
      <c r="E761" s="13" t="s">
        <v>426</v>
      </c>
      <c r="F761" s="13">
        <v>4400.0</v>
      </c>
      <c r="G761" s="13">
        <v>4400.0</v>
      </c>
    </row>
    <row r="762">
      <c r="D762" s="13" t="s">
        <v>994</v>
      </c>
      <c r="E762" s="13" t="s">
        <v>426</v>
      </c>
      <c r="F762" s="13">
        <v>4100.0</v>
      </c>
      <c r="G762" s="13">
        <v>4100.0</v>
      </c>
    </row>
    <row r="763">
      <c r="D763" s="13" t="s">
        <v>842</v>
      </c>
      <c r="E763" s="13" t="s">
        <v>426</v>
      </c>
      <c r="F763" s="13">
        <v>5800.0</v>
      </c>
      <c r="G763" s="13">
        <v>5800.0</v>
      </c>
    </row>
    <row r="764">
      <c r="D764" s="13" t="s">
        <v>716</v>
      </c>
      <c r="E764" s="13" t="s">
        <v>426</v>
      </c>
      <c r="F764" s="13">
        <v>6600.0</v>
      </c>
      <c r="G764" s="13">
        <v>6600.0</v>
      </c>
    </row>
    <row r="765">
      <c r="D765" s="13" t="s">
        <v>995</v>
      </c>
      <c r="E765" s="13">
        <v>1.0</v>
      </c>
      <c r="F765" s="13">
        <v>2500.0</v>
      </c>
      <c r="G765" s="13">
        <v>2500.0</v>
      </c>
    </row>
    <row r="766">
      <c r="D766" s="13" t="s">
        <v>732</v>
      </c>
      <c r="E766" s="13" t="s">
        <v>426</v>
      </c>
      <c r="F766" s="13">
        <v>12000.0</v>
      </c>
      <c r="G766" s="13">
        <v>12000.0</v>
      </c>
    </row>
    <row r="767">
      <c r="D767" s="13" t="s">
        <v>996</v>
      </c>
      <c r="E767" s="13" t="s">
        <v>426</v>
      </c>
      <c r="F767" s="13">
        <v>3500.0</v>
      </c>
      <c r="G767" s="13">
        <v>3500.0</v>
      </c>
    </row>
    <row r="768">
      <c r="D768" s="13" t="s">
        <v>997</v>
      </c>
      <c r="E768" s="13" t="s">
        <v>426</v>
      </c>
      <c r="F768" s="13">
        <v>4700.0</v>
      </c>
      <c r="G768" s="13">
        <v>4700.0</v>
      </c>
    </row>
    <row r="770">
      <c r="A770" s="13" t="s">
        <v>792</v>
      </c>
      <c r="B770" s="13"/>
      <c r="C770" s="79" t="s">
        <v>714</v>
      </c>
      <c r="D770" s="13" t="s">
        <v>998</v>
      </c>
      <c r="E770" s="13">
        <v>1.0</v>
      </c>
      <c r="F770" s="19">
        <v>11600.0</v>
      </c>
      <c r="G770" s="19">
        <v>11600.0</v>
      </c>
    </row>
    <row r="772">
      <c r="A772" s="13" t="s">
        <v>999</v>
      </c>
      <c r="B772" s="13"/>
      <c r="C772" s="79" t="s">
        <v>1000</v>
      </c>
      <c r="D772" s="13" t="s">
        <v>1001</v>
      </c>
      <c r="G772" s="13">
        <v>8200.0</v>
      </c>
    </row>
    <row r="773">
      <c r="A773" s="13" t="s">
        <v>783</v>
      </c>
      <c r="B773" s="13"/>
      <c r="C773" s="79" t="s">
        <v>1002</v>
      </c>
      <c r="D773" s="13" t="s">
        <v>908</v>
      </c>
      <c r="E773" s="13" t="s">
        <v>426</v>
      </c>
      <c r="F773" s="13">
        <v>7000.0</v>
      </c>
      <c r="G773" s="13">
        <v>7000.0</v>
      </c>
      <c r="I773" s="13">
        <v>74850.0</v>
      </c>
      <c r="J773" s="13" t="s">
        <v>883</v>
      </c>
    </row>
    <row r="775">
      <c r="A775" s="87">
        <v>45851.0</v>
      </c>
      <c r="B775" s="87"/>
      <c r="C775" s="79" t="s">
        <v>1003</v>
      </c>
      <c r="D775" s="13" t="s">
        <v>640</v>
      </c>
      <c r="E775" s="13" t="s">
        <v>426</v>
      </c>
      <c r="F775" s="13">
        <v>5700.0</v>
      </c>
      <c r="G775" s="13">
        <v>5700.0</v>
      </c>
    </row>
    <row r="776">
      <c r="A776" s="13" t="s">
        <v>1004</v>
      </c>
      <c r="B776" s="13"/>
      <c r="D776" s="13" t="s">
        <v>780</v>
      </c>
      <c r="E776" s="13" t="s">
        <v>693</v>
      </c>
      <c r="F776" s="13">
        <v>12000.0</v>
      </c>
      <c r="G776" s="13">
        <v>12000.0</v>
      </c>
    </row>
    <row r="778">
      <c r="A778" s="13" t="s">
        <v>811</v>
      </c>
      <c r="B778" s="13"/>
      <c r="C778" s="79" t="s">
        <v>463</v>
      </c>
      <c r="D778" s="13" t="s">
        <v>822</v>
      </c>
      <c r="E778" s="13" t="s">
        <v>426</v>
      </c>
      <c r="F778" s="13">
        <v>20600.0</v>
      </c>
      <c r="G778" s="13">
        <v>20600.0</v>
      </c>
    </row>
    <row r="779">
      <c r="D779" s="13" t="s">
        <v>551</v>
      </c>
      <c r="E779" s="13" t="s">
        <v>426</v>
      </c>
      <c r="G779" s="13">
        <v>20000.0</v>
      </c>
    </row>
    <row r="780">
      <c r="D780" s="13" t="s">
        <v>1005</v>
      </c>
      <c r="E780" s="13" t="s">
        <v>429</v>
      </c>
      <c r="F780" s="13">
        <v>15500.0</v>
      </c>
      <c r="G780" s="13">
        <f>2*F780</f>
        <v>31000</v>
      </c>
    </row>
    <row r="781">
      <c r="D781" s="13" t="s">
        <v>813</v>
      </c>
      <c r="E781" s="13" t="s">
        <v>426</v>
      </c>
      <c r="G781" s="13">
        <v>33000.0</v>
      </c>
    </row>
    <row r="782">
      <c r="D782" s="13" t="s">
        <v>826</v>
      </c>
      <c r="E782" s="13" t="s">
        <v>426</v>
      </c>
      <c r="G782" s="13">
        <v>15000.0</v>
      </c>
    </row>
    <row r="783">
      <c r="D783" s="13" t="s">
        <v>630</v>
      </c>
      <c r="E783" s="13" t="s">
        <v>426</v>
      </c>
      <c r="G783" s="13">
        <v>7000.0</v>
      </c>
    </row>
    <row r="784">
      <c r="D784" s="13" t="s">
        <v>1006</v>
      </c>
      <c r="E784" s="13" t="s">
        <v>426</v>
      </c>
      <c r="G784" s="13">
        <v>3000.0</v>
      </c>
    </row>
    <row r="785">
      <c r="D785" s="13" t="s">
        <v>823</v>
      </c>
      <c r="E785" s="13" t="s">
        <v>426</v>
      </c>
      <c r="G785" s="13">
        <v>3000.0</v>
      </c>
    </row>
    <row r="786">
      <c r="D786" s="13" t="s">
        <v>1007</v>
      </c>
      <c r="E786" s="13" t="s">
        <v>426</v>
      </c>
      <c r="G786" s="13">
        <v>2500.0</v>
      </c>
    </row>
    <row r="788">
      <c r="C788" s="79" t="s">
        <v>560</v>
      </c>
      <c r="D788" s="13" t="s">
        <v>443</v>
      </c>
      <c r="E788" s="13" t="s">
        <v>426</v>
      </c>
    </row>
    <row r="790">
      <c r="A790" s="13" t="s">
        <v>1008</v>
      </c>
      <c r="B790" s="13"/>
      <c r="C790" s="79" t="s">
        <v>1009</v>
      </c>
      <c r="D790" s="13" t="s">
        <v>1010</v>
      </c>
      <c r="E790" s="13">
        <v>2.0</v>
      </c>
      <c r="F790" s="13">
        <v>4200.0</v>
      </c>
      <c r="G790" s="13">
        <v>8400.0</v>
      </c>
    </row>
    <row r="791">
      <c r="D791" s="13" t="s">
        <v>1011</v>
      </c>
      <c r="E791" s="13" t="s">
        <v>426</v>
      </c>
      <c r="F791" s="13">
        <v>7000.0</v>
      </c>
      <c r="G791" s="13">
        <v>7000.0</v>
      </c>
    </row>
    <row r="792">
      <c r="D792" s="13" t="s">
        <v>1012</v>
      </c>
      <c r="E792" s="13" t="s">
        <v>426</v>
      </c>
      <c r="F792" s="13">
        <v>7500.0</v>
      </c>
      <c r="G792" s="13">
        <v>7500.0</v>
      </c>
    </row>
    <row r="793">
      <c r="D793" s="13" t="s">
        <v>1013</v>
      </c>
      <c r="E793" s="13">
        <v>1.0</v>
      </c>
      <c r="H793" s="13" t="s">
        <v>1014</v>
      </c>
    </row>
    <row r="795">
      <c r="A795" s="13" t="s">
        <v>792</v>
      </c>
      <c r="B795" s="13"/>
      <c r="C795" s="79" t="s">
        <v>1015</v>
      </c>
      <c r="D795" s="13" t="s">
        <v>767</v>
      </c>
      <c r="E795" s="13" t="s">
        <v>426</v>
      </c>
      <c r="F795" s="13">
        <v>7700.0</v>
      </c>
      <c r="G795" s="13">
        <v>7700.0</v>
      </c>
    </row>
    <row r="797">
      <c r="A797" s="13" t="s">
        <v>808</v>
      </c>
      <c r="B797" s="13"/>
      <c r="C797" s="79" t="s">
        <v>1016</v>
      </c>
      <c r="D797" s="13" t="s">
        <v>606</v>
      </c>
      <c r="E797" s="13" t="s">
        <v>426</v>
      </c>
      <c r="F797" s="13">
        <v>5700.0</v>
      </c>
      <c r="G797" s="13">
        <v>5700.0</v>
      </c>
    </row>
    <row r="798">
      <c r="D798" s="13" t="s">
        <v>732</v>
      </c>
      <c r="E798" s="13" t="s">
        <v>426</v>
      </c>
      <c r="F798" s="13">
        <v>12000.0</v>
      </c>
      <c r="G798" s="13">
        <v>12000.0</v>
      </c>
    </row>
    <row r="799">
      <c r="D799" s="13" t="s">
        <v>1017</v>
      </c>
      <c r="E799" s="13" t="s">
        <v>426</v>
      </c>
      <c r="F799" s="13">
        <v>6000.0</v>
      </c>
      <c r="G799" s="13">
        <v>6000.0</v>
      </c>
    </row>
    <row r="801">
      <c r="A801" s="13" t="s">
        <v>1018</v>
      </c>
      <c r="C801" s="79" t="s">
        <v>1019</v>
      </c>
      <c r="D801" s="13" t="s">
        <v>1020</v>
      </c>
      <c r="E801" s="13">
        <v>1.0</v>
      </c>
      <c r="F801" s="13">
        <v>4200.0</v>
      </c>
      <c r="G801" s="13">
        <v>4200.0</v>
      </c>
    </row>
    <row r="803">
      <c r="A803" s="13" t="s">
        <v>808</v>
      </c>
      <c r="B803" s="13"/>
      <c r="C803" s="79" t="s">
        <v>1021</v>
      </c>
      <c r="D803" s="13" t="s">
        <v>444</v>
      </c>
      <c r="E803" s="13" t="s">
        <v>426</v>
      </c>
      <c r="F803" s="13">
        <v>10500.0</v>
      </c>
      <c r="G803" s="13">
        <v>10500.0</v>
      </c>
    </row>
    <row r="805">
      <c r="A805" s="13" t="s">
        <v>811</v>
      </c>
      <c r="B805" s="13"/>
      <c r="C805" s="79" t="s">
        <v>1022</v>
      </c>
      <c r="D805" s="13" t="s">
        <v>1023</v>
      </c>
      <c r="E805" s="13" t="s">
        <v>434</v>
      </c>
      <c r="F805" s="13">
        <v>27400.0</v>
      </c>
      <c r="G805" s="32">
        <f>3*F805</f>
        <v>82200</v>
      </c>
    </row>
    <row r="806">
      <c r="D806" s="13" t="s">
        <v>449</v>
      </c>
      <c r="E806" s="13" t="s">
        <v>1024</v>
      </c>
      <c r="G806" s="13">
        <v>12550.0</v>
      </c>
    </row>
    <row r="808">
      <c r="A808" s="13" t="s">
        <v>811</v>
      </c>
      <c r="B808" s="13"/>
      <c r="C808" s="79" t="s">
        <v>1025</v>
      </c>
      <c r="D808" s="13" t="s">
        <v>600</v>
      </c>
      <c r="E808" s="13">
        <v>500.0</v>
      </c>
      <c r="F808" s="13">
        <v>2900.0</v>
      </c>
      <c r="G808" s="13">
        <v>2900.0</v>
      </c>
    </row>
    <row r="809">
      <c r="D809" s="13" t="s">
        <v>558</v>
      </c>
      <c r="E809" s="13">
        <v>500.0</v>
      </c>
      <c r="F809" s="13">
        <v>2200.0</v>
      </c>
      <c r="G809" s="13">
        <v>2200.0</v>
      </c>
    </row>
    <row r="810">
      <c r="D810" s="13" t="s">
        <v>732</v>
      </c>
      <c r="E810" s="13" t="s">
        <v>727</v>
      </c>
      <c r="F810" s="13">
        <v>6000.0</v>
      </c>
      <c r="G810" s="13">
        <v>6000.0</v>
      </c>
    </row>
    <row r="811">
      <c r="D811" s="13" t="s">
        <v>606</v>
      </c>
      <c r="E811" s="13" t="s">
        <v>727</v>
      </c>
      <c r="F811" s="13">
        <v>2900.0</v>
      </c>
      <c r="G811" s="13">
        <v>2900.0</v>
      </c>
    </row>
    <row r="812">
      <c r="D812" s="13" t="s">
        <v>1026</v>
      </c>
      <c r="E812" s="13">
        <v>1.0</v>
      </c>
      <c r="F812" s="13">
        <v>2500.0</v>
      </c>
      <c r="G812" s="13">
        <v>2500.0</v>
      </c>
      <c r="I812" s="13">
        <v>1900.0</v>
      </c>
    </row>
    <row r="813">
      <c r="D813" s="13" t="s">
        <v>630</v>
      </c>
      <c r="E813" s="13" t="s">
        <v>1024</v>
      </c>
      <c r="F813" s="13">
        <v>3500.0</v>
      </c>
      <c r="G813" s="13">
        <v>3500.0</v>
      </c>
    </row>
    <row r="814">
      <c r="C814" s="14"/>
      <c r="D814" s="13"/>
      <c r="E814" s="13"/>
    </row>
    <row r="815">
      <c r="A815" s="13" t="s">
        <v>811</v>
      </c>
      <c r="B815" s="13"/>
      <c r="C815" s="79" t="s">
        <v>1027</v>
      </c>
      <c r="D815" s="13" t="s">
        <v>598</v>
      </c>
      <c r="E815" s="13" t="s">
        <v>426</v>
      </c>
      <c r="G815" s="13">
        <v>19000.0</v>
      </c>
      <c r="I815" s="13">
        <v>16500.0</v>
      </c>
    </row>
    <row r="816">
      <c r="D816" s="13" t="s">
        <v>1028</v>
      </c>
      <c r="E816" s="13" t="s">
        <v>426</v>
      </c>
      <c r="G816" s="13">
        <v>13500.0</v>
      </c>
      <c r="I816" s="13">
        <v>11500.0</v>
      </c>
    </row>
    <row r="817">
      <c r="D817" s="13" t="s">
        <v>1029</v>
      </c>
      <c r="F817" s="13"/>
      <c r="G817" s="13"/>
      <c r="H817" s="13" t="s">
        <v>1014</v>
      </c>
    </row>
    <row r="818">
      <c r="D818" s="13" t="s">
        <v>444</v>
      </c>
      <c r="E818" s="13" t="s">
        <v>426</v>
      </c>
      <c r="F818" s="13">
        <v>10500.0</v>
      </c>
      <c r="G818" s="13">
        <v>10500.0</v>
      </c>
      <c r="I818" s="13">
        <v>10500.0</v>
      </c>
    </row>
    <row r="820">
      <c r="A820" s="13" t="s">
        <v>811</v>
      </c>
      <c r="C820" s="79" t="s">
        <v>910</v>
      </c>
      <c r="D820" s="13" t="s">
        <v>558</v>
      </c>
      <c r="E820" s="13" t="s">
        <v>429</v>
      </c>
      <c r="F820" s="13">
        <v>4400.0</v>
      </c>
      <c r="G820" s="32">
        <f>2*4400</f>
        <v>8800</v>
      </c>
      <c r="I820" s="13">
        <v>6600.0</v>
      </c>
    </row>
    <row r="822">
      <c r="C822" s="79" t="s">
        <v>542</v>
      </c>
      <c r="D822" s="13" t="s">
        <v>595</v>
      </c>
      <c r="E822" s="13">
        <v>500.0</v>
      </c>
      <c r="G822" s="13">
        <v>1800.0</v>
      </c>
      <c r="I822" s="13">
        <v>1800.0</v>
      </c>
    </row>
    <row r="823">
      <c r="D823" s="13" t="s">
        <v>600</v>
      </c>
      <c r="E823" s="13">
        <v>500.0</v>
      </c>
      <c r="G823" s="13">
        <v>1700.0</v>
      </c>
      <c r="I823" s="13">
        <v>1700.0</v>
      </c>
    </row>
    <row r="824">
      <c r="D824" s="13" t="s">
        <v>732</v>
      </c>
      <c r="E824" s="13">
        <v>500.0</v>
      </c>
      <c r="F824" s="13">
        <v>6000.0</v>
      </c>
      <c r="G824" s="13">
        <v>4650.0</v>
      </c>
      <c r="I824" s="13">
        <v>4650.0</v>
      </c>
    </row>
    <row r="825">
      <c r="D825" s="13" t="s">
        <v>606</v>
      </c>
      <c r="E825" s="13">
        <v>500.0</v>
      </c>
      <c r="F825" s="13">
        <v>2900.0</v>
      </c>
      <c r="G825" s="13">
        <v>2350.0</v>
      </c>
      <c r="I825" s="13">
        <v>2350.0</v>
      </c>
    </row>
    <row r="826">
      <c r="D826" s="13" t="s">
        <v>1030</v>
      </c>
      <c r="E826" s="13">
        <v>500.0</v>
      </c>
      <c r="G826" s="13">
        <v>10450.0</v>
      </c>
      <c r="I826" s="13">
        <v>10450.0</v>
      </c>
    </row>
    <row r="827">
      <c r="C827" s="14"/>
      <c r="D827" s="13" t="s">
        <v>551</v>
      </c>
      <c r="E827" s="13">
        <v>1.0</v>
      </c>
      <c r="F827" s="13"/>
      <c r="G827" s="13">
        <v>15600.0</v>
      </c>
    </row>
    <row r="828">
      <c r="C828" s="14"/>
      <c r="D828" s="13" t="s">
        <v>1031</v>
      </c>
      <c r="E828" s="13" t="s">
        <v>426</v>
      </c>
      <c r="F828" s="13"/>
      <c r="G828" s="13">
        <v>4400.0</v>
      </c>
    </row>
    <row r="829">
      <c r="C829" s="79"/>
      <c r="D829" s="13"/>
      <c r="E829" s="13"/>
      <c r="F829" s="13"/>
      <c r="G829" s="13"/>
      <c r="I829" s="13"/>
    </row>
    <row r="830">
      <c r="A830" s="13" t="s">
        <v>808</v>
      </c>
      <c r="B830" s="13"/>
      <c r="C830" s="79" t="s">
        <v>1032</v>
      </c>
      <c r="D830" s="13" t="s">
        <v>732</v>
      </c>
      <c r="E830" s="13" t="s">
        <v>539</v>
      </c>
      <c r="F830" s="13">
        <v>12000.0</v>
      </c>
      <c r="G830" s="13">
        <v>12000.0</v>
      </c>
      <c r="I830" s="13">
        <v>9300.0</v>
      </c>
    </row>
    <row r="831">
      <c r="A831" s="13"/>
      <c r="B831" s="13"/>
      <c r="D831" s="13" t="s">
        <v>1033</v>
      </c>
      <c r="E831" s="13" t="s">
        <v>426</v>
      </c>
      <c r="F831" s="13">
        <v>4400.0</v>
      </c>
      <c r="G831" s="13">
        <v>4400.0</v>
      </c>
      <c r="I831" s="13">
        <v>3300.0</v>
      </c>
    </row>
    <row r="832">
      <c r="D832" s="13" t="s">
        <v>1034</v>
      </c>
      <c r="E832" s="13" t="s">
        <v>426</v>
      </c>
      <c r="F832" s="13">
        <v>5000.0</v>
      </c>
      <c r="G832" s="13">
        <v>5000.0</v>
      </c>
      <c r="I832" s="13">
        <v>3300.0</v>
      </c>
    </row>
    <row r="833">
      <c r="D833" s="13" t="s">
        <v>590</v>
      </c>
      <c r="E833" s="13" t="s">
        <v>426</v>
      </c>
      <c r="F833" s="13">
        <v>3000.0</v>
      </c>
      <c r="G833" s="13">
        <v>3000.0</v>
      </c>
      <c r="I833" s="13">
        <v>2400.0</v>
      </c>
    </row>
    <row r="834">
      <c r="D834" s="13" t="s">
        <v>1035</v>
      </c>
      <c r="E834" s="13" t="s">
        <v>426</v>
      </c>
      <c r="F834" s="13">
        <v>5700.0</v>
      </c>
      <c r="G834" s="13">
        <v>5700.0</v>
      </c>
      <c r="I834" s="13">
        <v>4700.0</v>
      </c>
    </row>
    <row r="836">
      <c r="A836" s="13" t="s">
        <v>844</v>
      </c>
      <c r="B836" s="13"/>
      <c r="C836" s="79" t="s">
        <v>1036</v>
      </c>
      <c r="D836" s="13" t="s">
        <v>1037</v>
      </c>
      <c r="E836" s="13" t="s">
        <v>426</v>
      </c>
      <c r="F836" s="13">
        <v>8700.0</v>
      </c>
      <c r="G836" s="13">
        <v>8700.0</v>
      </c>
      <c r="I836" s="13">
        <v>9200.0</v>
      </c>
    </row>
    <row r="838">
      <c r="A838" s="13" t="s">
        <v>757</v>
      </c>
      <c r="B838" s="13"/>
      <c r="C838" s="79" t="s">
        <v>1038</v>
      </c>
      <c r="D838" s="13" t="s">
        <v>438</v>
      </c>
      <c r="E838" s="13" t="s">
        <v>1039</v>
      </c>
      <c r="F838" s="13">
        <v>5800.0</v>
      </c>
      <c r="G838" s="19">
        <v>29000.0</v>
      </c>
      <c r="I838" s="13">
        <v>17500.0</v>
      </c>
    </row>
    <row r="841">
      <c r="A841" s="13" t="s">
        <v>792</v>
      </c>
      <c r="B841" s="13"/>
      <c r="C841" s="79" t="s">
        <v>1040</v>
      </c>
      <c r="D841" s="13" t="s">
        <v>1041</v>
      </c>
      <c r="E841" s="13" t="s">
        <v>426</v>
      </c>
      <c r="F841" s="13">
        <v>8700.0</v>
      </c>
      <c r="G841" s="13">
        <v>8700.0</v>
      </c>
      <c r="I841" s="13">
        <v>9200.0</v>
      </c>
    </row>
    <row r="842">
      <c r="D842" s="13" t="s">
        <v>1042</v>
      </c>
      <c r="E842" s="13" t="s">
        <v>426</v>
      </c>
      <c r="F842" s="13">
        <v>7100.0</v>
      </c>
      <c r="G842" s="13">
        <v>7100.0</v>
      </c>
      <c r="I842" s="13">
        <v>5900.0</v>
      </c>
    </row>
    <row r="843">
      <c r="D843" s="13" t="s">
        <v>1043</v>
      </c>
      <c r="E843" s="13" t="s">
        <v>429</v>
      </c>
      <c r="F843" s="13">
        <v>4400.0</v>
      </c>
      <c r="G843" s="13">
        <v>8800.0</v>
      </c>
      <c r="I843" s="13">
        <v>6600.0</v>
      </c>
    </row>
    <row r="844">
      <c r="D844" s="13" t="s">
        <v>1044</v>
      </c>
      <c r="E844" s="13" t="s">
        <v>1045</v>
      </c>
      <c r="F844" s="13">
        <v>5500.0</v>
      </c>
      <c r="G844" s="13">
        <v>5500.0</v>
      </c>
      <c r="I844" s="13">
        <v>4515.0</v>
      </c>
    </row>
    <row r="845">
      <c r="D845" s="13" t="s">
        <v>1046</v>
      </c>
      <c r="E845" s="13" t="s">
        <v>727</v>
      </c>
      <c r="F845" s="13">
        <v>4000.0</v>
      </c>
      <c r="G845" s="13">
        <v>4000.0</v>
      </c>
    </row>
    <row r="848">
      <c r="A848" s="13" t="s">
        <v>811</v>
      </c>
      <c r="B848" s="13"/>
      <c r="C848" s="79" t="s">
        <v>1047</v>
      </c>
      <c r="D848" s="13" t="s">
        <v>963</v>
      </c>
      <c r="E848" s="13" t="s">
        <v>429</v>
      </c>
      <c r="F848" s="13">
        <v>8700.0</v>
      </c>
      <c r="G848" s="32">
        <f>2*F848</f>
        <v>17400</v>
      </c>
      <c r="I848" s="19">
        <v>18400.0</v>
      </c>
    </row>
    <row r="851">
      <c r="A851" s="13" t="s">
        <v>792</v>
      </c>
      <c r="B851" s="13"/>
      <c r="C851" s="79" t="s">
        <v>1048</v>
      </c>
      <c r="D851" s="13" t="s">
        <v>1049</v>
      </c>
      <c r="E851" s="13" t="s">
        <v>658</v>
      </c>
      <c r="F851" s="19">
        <v>4200.0</v>
      </c>
      <c r="G851" s="19">
        <v>4200.0</v>
      </c>
      <c r="I851" s="13">
        <v>3470.0</v>
      </c>
    </row>
    <row r="852">
      <c r="D852" s="13" t="s">
        <v>1050</v>
      </c>
      <c r="E852" s="13" t="s">
        <v>426</v>
      </c>
      <c r="F852" s="13">
        <v>7700.0</v>
      </c>
      <c r="G852" s="13">
        <v>7700.0</v>
      </c>
      <c r="I852" s="13">
        <v>6400.0</v>
      </c>
    </row>
    <row r="855">
      <c r="A855" s="13" t="s">
        <v>844</v>
      </c>
      <c r="B855" s="13"/>
      <c r="C855" s="79" t="s">
        <v>482</v>
      </c>
      <c r="D855" s="13" t="s">
        <v>1051</v>
      </c>
      <c r="E855" s="13" t="s">
        <v>426</v>
      </c>
      <c r="F855" s="13">
        <v>9400.0</v>
      </c>
      <c r="G855" s="13">
        <v>9400.0</v>
      </c>
      <c r="I855" s="13">
        <v>7800.0</v>
      </c>
    </row>
    <row r="856">
      <c r="D856" s="13" t="s">
        <v>1052</v>
      </c>
      <c r="E856" s="13">
        <v>10.0</v>
      </c>
      <c r="F856" s="13">
        <v>1300.0</v>
      </c>
      <c r="G856" s="13">
        <v>13000.0</v>
      </c>
    </row>
    <row r="858">
      <c r="A858" s="13" t="s">
        <v>792</v>
      </c>
      <c r="B858" s="13"/>
      <c r="C858" s="79" t="s">
        <v>501</v>
      </c>
      <c r="D858" s="13" t="s">
        <v>1053</v>
      </c>
      <c r="E858" s="13" t="s">
        <v>426</v>
      </c>
      <c r="F858" s="19">
        <v>19000.0</v>
      </c>
      <c r="G858" s="13">
        <v>19000.0</v>
      </c>
      <c r="I858" s="19">
        <v>16500.0</v>
      </c>
    </row>
    <row r="859">
      <c r="D859" s="13" t="s">
        <v>816</v>
      </c>
      <c r="E859" s="13" t="s">
        <v>426</v>
      </c>
      <c r="F859" s="13">
        <v>9250.0</v>
      </c>
      <c r="G859" s="13">
        <v>9250.0</v>
      </c>
      <c r="I859" s="13">
        <v>8000.0</v>
      </c>
    </row>
    <row r="860">
      <c r="D860" s="13" t="s">
        <v>1054</v>
      </c>
      <c r="E860" s="13" t="s">
        <v>727</v>
      </c>
      <c r="F860" s="13">
        <v>1250.0</v>
      </c>
      <c r="G860" s="13">
        <v>1250.0</v>
      </c>
      <c r="I860" s="13">
        <v>1050.0</v>
      </c>
    </row>
    <row r="861">
      <c r="C861" s="79"/>
      <c r="D861" s="13"/>
      <c r="E861" s="13"/>
      <c r="F861" s="13"/>
      <c r="G861" s="13"/>
    </row>
    <row r="862">
      <c r="A862" s="13" t="s">
        <v>811</v>
      </c>
      <c r="B862" s="13"/>
      <c r="C862" s="79" t="s">
        <v>987</v>
      </c>
      <c r="D862" s="13" t="s">
        <v>908</v>
      </c>
      <c r="E862" s="13" t="s">
        <v>727</v>
      </c>
      <c r="F862" s="13">
        <v>3500.0</v>
      </c>
      <c r="G862" s="13">
        <v>3500.0</v>
      </c>
    </row>
    <row r="865">
      <c r="A865" s="13" t="s">
        <v>792</v>
      </c>
      <c r="B865" s="13"/>
      <c r="C865" s="79" t="s">
        <v>714</v>
      </c>
      <c r="D865" s="13" t="s">
        <v>971</v>
      </c>
      <c r="E865" s="13" t="s">
        <v>752</v>
      </c>
      <c r="F865" s="13">
        <v>3300.0</v>
      </c>
      <c r="G865" s="13">
        <v>3300.0</v>
      </c>
      <c r="H865" s="56"/>
    </row>
    <row r="866">
      <c r="D866" s="13" t="s">
        <v>1055</v>
      </c>
      <c r="E866" s="13">
        <v>1.0</v>
      </c>
      <c r="F866" s="13">
        <v>570.0</v>
      </c>
      <c r="G866" s="13">
        <v>570.0</v>
      </c>
    </row>
    <row r="867">
      <c r="D867" s="13" t="s">
        <v>1056</v>
      </c>
      <c r="E867" s="13">
        <v>1.0</v>
      </c>
      <c r="F867" s="13">
        <v>7800.0</v>
      </c>
      <c r="G867" s="13">
        <v>7800.0</v>
      </c>
    </row>
    <row r="868">
      <c r="D868" s="13" t="s">
        <v>1057</v>
      </c>
      <c r="E868" s="13" t="s">
        <v>1058</v>
      </c>
      <c r="F868" s="19">
        <v>10633.0</v>
      </c>
      <c r="G868" s="13">
        <v>10633.0</v>
      </c>
      <c r="H868" s="13" t="s">
        <v>1059</v>
      </c>
    </row>
    <row r="869">
      <c r="D869" s="13" t="s">
        <v>1060</v>
      </c>
      <c r="E869" s="13" t="s">
        <v>727</v>
      </c>
      <c r="F869" s="13" t="s">
        <v>587</v>
      </c>
      <c r="H869" s="13" t="s">
        <v>1061</v>
      </c>
    </row>
    <row r="870">
      <c r="D870" s="13" t="s">
        <v>758</v>
      </c>
      <c r="E870" s="13" t="s">
        <v>426</v>
      </c>
      <c r="F870" s="13">
        <v>3300.0</v>
      </c>
      <c r="G870" s="13">
        <v>3300.0</v>
      </c>
    </row>
    <row r="872">
      <c r="A872" s="13" t="s">
        <v>783</v>
      </c>
      <c r="B872" s="13"/>
      <c r="C872" s="79" t="s">
        <v>1062</v>
      </c>
      <c r="D872" s="13" t="s">
        <v>680</v>
      </c>
      <c r="E872" s="13">
        <v>1.0</v>
      </c>
      <c r="F872" s="13">
        <v>5200.0</v>
      </c>
      <c r="G872" s="13">
        <v>5200.0</v>
      </c>
    </row>
    <row r="873">
      <c r="D873" s="13" t="s">
        <v>1063</v>
      </c>
      <c r="E873" s="13" t="s">
        <v>1064</v>
      </c>
      <c r="F873" s="13">
        <v>1300.0</v>
      </c>
      <c r="G873" s="13">
        <v>3900.0</v>
      </c>
    </row>
    <row r="874">
      <c r="D874" s="13" t="s">
        <v>1065</v>
      </c>
      <c r="E874" s="13">
        <v>1.0</v>
      </c>
      <c r="F874" s="13">
        <v>1000.0</v>
      </c>
      <c r="G874" s="13">
        <v>1000.0</v>
      </c>
    </row>
    <row r="875">
      <c r="D875" s="13" t="s">
        <v>660</v>
      </c>
      <c r="E875" s="13">
        <v>1.0</v>
      </c>
      <c r="F875" s="13">
        <v>1000.0</v>
      </c>
      <c r="G875" s="13">
        <v>1000.0</v>
      </c>
    </row>
    <row r="876">
      <c r="D876" s="13" t="s">
        <v>1066</v>
      </c>
      <c r="E876" s="13">
        <v>1.0</v>
      </c>
      <c r="F876" s="13">
        <v>1000.0</v>
      </c>
      <c r="G876" s="13">
        <v>1000.0</v>
      </c>
    </row>
    <row r="877">
      <c r="D877" s="13" t="s">
        <v>1067</v>
      </c>
      <c r="E877" s="13">
        <v>1.0</v>
      </c>
      <c r="F877" s="13">
        <v>1000.0</v>
      </c>
      <c r="G877" s="13">
        <v>1000.0</v>
      </c>
    </row>
    <row r="878">
      <c r="D878" s="13" t="s">
        <v>1068</v>
      </c>
      <c r="E878" s="13" t="s">
        <v>727</v>
      </c>
      <c r="F878" s="13">
        <v>1250.0</v>
      </c>
      <c r="G878" s="13">
        <v>1250.0</v>
      </c>
    </row>
    <row r="879">
      <c r="D879" s="13" t="s">
        <v>592</v>
      </c>
      <c r="E879" s="13">
        <v>1.0</v>
      </c>
      <c r="F879" s="13">
        <v>3000.0</v>
      </c>
      <c r="G879" s="13">
        <v>3000.0</v>
      </c>
    </row>
    <row r="880">
      <c r="D880" s="13" t="s">
        <v>1069</v>
      </c>
      <c r="E880" s="13">
        <v>1.0</v>
      </c>
      <c r="F880" s="13">
        <v>11500.0</v>
      </c>
      <c r="G880" s="13">
        <v>11500.0</v>
      </c>
    </row>
    <row r="881">
      <c r="D881" s="13" t="s">
        <v>1070</v>
      </c>
      <c r="E881" s="13">
        <v>1.0</v>
      </c>
      <c r="F881" s="13">
        <v>11500.0</v>
      </c>
      <c r="G881" s="13">
        <v>11500.0</v>
      </c>
    </row>
    <row r="882">
      <c r="D882" s="13" t="s">
        <v>1023</v>
      </c>
      <c r="E882" s="13" t="s">
        <v>426</v>
      </c>
      <c r="F882" s="13">
        <v>27400.0</v>
      </c>
      <c r="H882" s="13" t="s">
        <v>1071</v>
      </c>
    </row>
    <row r="883">
      <c r="D883" s="13" t="s">
        <v>606</v>
      </c>
      <c r="E883" s="13" t="s">
        <v>426</v>
      </c>
      <c r="F883" s="13">
        <v>5700.0</v>
      </c>
      <c r="G883" s="13">
        <v>5700.0</v>
      </c>
    </row>
    <row r="884">
      <c r="D884" s="13" t="s">
        <v>1072</v>
      </c>
      <c r="E884" s="13">
        <v>3.0</v>
      </c>
      <c r="F884" s="13">
        <v>5000.0</v>
      </c>
      <c r="G884" s="13">
        <v>15000.0</v>
      </c>
    </row>
    <row r="886">
      <c r="C886" s="79" t="s">
        <v>1073</v>
      </c>
      <c r="D886" s="13" t="s">
        <v>1074</v>
      </c>
      <c r="E886" s="13" t="s">
        <v>426</v>
      </c>
      <c r="F886" s="19"/>
      <c r="G886" s="19"/>
      <c r="H886" s="13" t="s">
        <v>1075</v>
      </c>
    </row>
    <row r="888">
      <c r="A888" s="13" t="s">
        <v>792</v>
      </c>
      <c r="B888" s="13"/>
      <c r="C888" s="79" t="s">
        <v>1076</v>
      </c>
      <c r="D888" s="13" t="s">
        <v>558</v>
      </c>
      <c r="E888" s="13" t="s">
        <v>426</v>
      </c>
      <c r="F888" s="13">
        <v>4400.0</v>
      </c>
      <c r="G888" s="13">
        <v>4400.0</v>
      </c>
    </row>
    <row r="889">
      <c r="D889" s="13" t="s">
        <v>979</v>
      </c>
      <c r="E889" s="13" t="s">
        <v>426</v>
      </c>
      <c r="F889" s="13">
        <v>12200.0</v>
      </c>
      <c r="G889" s="13">
        <v>12200.0</v>
      </c>
    </row>
    <row r="890">
      <c r="D890" s="13" t="s">
        <v>1077</v>
      </c>
      <c r="E890" s="13" t="s">
        <v>426</v>
      </c>
      <c r="F890" s="13">
        <v>17000.0</v>
      </c>
      <c r="G890" s="13">
        <v>17000.0</v>
      </c>
    </row>
    <row r="893">
      <c r="A893" s="13" t="s">
        <v>792</v>
      </c>
      <c r="B893" s="13"/>
      <c r="C893" s="79" t="s">
        <v>1078</v>
      </c>
      <c r="D893" s="13" t="s">
        <v>908</v>
      </c>
      <c r="E893" s="13" t="s">
        <v>727</v>
      </c>
      <c r="F893" s="13">
        <v>4000.0</v>
      </c>
      <c r="G893" s="13">
        <v>4000.0</v>
      </c>
      <c r="I893" s="13">
        <v>112362.0</v>
      </c>
      <c r="J893" s="13" t="s">
        <v>965</v>
      </c>
    </row>
    <row r="895">
      <c r="A895" s="78">
        <v>45858.0</v>
      </c>
      <c r="B895" s="78"/>
    </row>
    <row r="896">
      <c r="A896" s="13" t="s">
        <v>792</v>
      </c>
      <c r="B896" s="13"/>
      <c r="C896" s="79" t="s">
        <v>973</v>
      </c>
      <c r="D896" s="13" t="s">
        <v>1079</v>
      </c>
      <c r="E896" s="13" t="s">
        <v>429</v>
      </c>
      <c r="F896" s="13">
        <v>6.500340034E11</v>
      </c>
      <c r="G896" s="19">
        <v>13300.0</v>
      </c>
    </row>
    <row r="898">
      <c r="A898" s="13" t="s">
        <v>792</v>
      </c>
      <c r="B898" s="13"/>
      <c r="C898" s="79" t="s">
        <v>1080</v>
      </c>
      <c r="D898" s="13" t="s">
        <v>626</v>
      </c>
      <c r="E898" s="13" t="s">
        <v>426</v>
      </c>
      <c r="F898" s="19">
        <v>12200.0</v>
      </c>
      <c r="G898" s="19">
        <v>12200.0</v>
      </c>
    </row>
    <row r="899">
      <c r="D899" s="13" t="s">
        <v>640</v>
      </c>
      <c r="E899" s="13" t="s">
        <v>426</v>
      </c>
      <c r="F899" s="13">
        <v>5700.0</v>
      </c>
      <c r="G899" s="13">
        <v>5700.0</v>
      </c>
    </row>
    <row r="900">
      <c r="D900" s="13" t="s">
        <v>911</v>
      </c>
      <c r="E900" s="13" t="s">
        <v>426</v>
      </c>
      <c r="F900" s="19">
        <v>12000.0</v>
      </c>
      <c r="G900" s="13">
        <v>12000.0</v>
      </c>
    </row>
    <row r="902">
      <c r="A902" s="13" t="s">
        <v>1081</v>
      </c>
      <c r="B902" s="13"/>
      <c r="C902" s="79" t="s">
        <v>1082</v>
      </c>
      <c r="D902" s="13" t="s">
        <v>1083</v>
      </c>
      <c r="E902" s="13" t="s">
        <v>1084</v>
      </c>
      <c r="F902" s="13">
        <v>3600.0</v>
      </c>
      <c r="G902" s="13">
        <v>3600.0</v>
      </c>
    </row>
    <row r="903">
      <c r="D903" s="13" t="s">
        <v>611</v>
      </c>
      <c r="E903" s="13">
        <v>1.0</v>
      </c>
      <c r="F903" s="13">
        <v>3000.0</v>
      </c>
      <c r="G903" s="13">
        <v>3000.0</v>
      </c>
    </row>
    <row r="904">
      <c r="D904" s="13" t="s">
        <v>1085</v>
      </c>
      <c r="E904" s="13">
        <v>1.0</v>
      </c>
      <c r="F904" s="13">
        <v>1500.0</v>
      </c>
      <c r="G904" s="13">
        <v>1500.0</v>
      </c>
    </row>
    <row r="905">
      <c r="D905" s="13" t="s">
        <v>558</v>
      </c>
      <c r="E905" s="13" t="s">
        <v>426</v>
      </c>
      <c r="F905" s="13">
        <v>4400.0</v>
      </c>
      <c r="G905" s="13">
        <v>4400.0</v>
      </c>
    </row>
    <row r="906">
      <c r="D906" s="13" t="s">
        <v>1086</v>
      </c>
      <c r="E906" s="13" t="s">
        <v>426</v>
      </c>
      <c r="F906" s="13">
        <v>15500.0</v>
      </c>
      <c r="G906" s="13">
        <v>15500.0</v>
      </c>
    </row>
    <row r="907">
      <c r="D907" s="13" t="s">
        <v>1087</v>
      </c>
      <c r="E907" s="13" t="s">
        <v>426</v>
      </c>
      <c r="F907" s="13">
        <v>25100.0</v>
      </c>
      <c r="G907" s="13">
        <v>25100.0</v>
      </c>
    </row>
    <row r="908">
      <c r="E908" s="82"/>
      <c r="G908" s="82"/>
    </row>
    <row r="909">
      <c r="A909" s="13" t="s">
        <v>1088</v>
      </c>
      <c r="B909" s="13"/>
      <c r="C909" s="79" t="s">
        <v>1089</v>
      </c>
      <c r="D909" s="13" t="s">
        <v>1090</v>
      </c>
      <c r="E909" s="13" t="s">
        <v>426</v>
      </c>
      <c r="F909" s="19">
        <v>10500.0</v>
      </c>
      <c r="G909" s="13">
        <v>10500.0</v>
      </c>
    </row>
    <row r="910">
      <c r="D910" s="13" t="s">
        <v>687</v>
      </c>
      <c r="E910" s="13" t="s">
        <v>426</v>
      </c>
      <c r="F910" s="13">
        <v>3500.0</v>
      </c>
      <c r="G910" s="13">
        <v>3500.0</v>
      </c>
      <c r="H910" s="13" t="s">
        <v>1091</v>
      </c>
    </row>
    <row r="911">
      <c r="D911" s="13" t="s">
        <v>1092</v>
      </c>
      <c r="E911" s="13">
        <v>1.0</v>
      </c>
      <c r="F911" s="13">
        <v>5200.0</v>
      </c>
      <c r="G911" s="13">
        <v>5200.0</v>
      </c>
    </row>
    <row r="912">
      <c r="D912" s="13" t="s">
        <v>785</v>
      </c>
      <c r="E912" s="13" t="s">
        <v>693</v>
      </c>
      <c r="F912" s="13">
        <v>4100.0</v>
      </c>
      <c r="G912" s="13">
        <v>4100.0</v>
      </c>
    </row>
    <row r="913">
      <c r="D913" s="13" t="s">
        <v>780</v>
      </c>
      <c r="E913" s="13" t="s">
        <v>693</v>
      </c>
      <c r="F913" s="19">
        <v>12000.0</v>
      </c>
      <c r="G913" s="13">
        <v>12000.0</v>
      </c>
    </row>
    <row r="914">
      <c r="D914" s="13" t="s">
        <v>1093</v>
      </c>
      <c r="E914" s="13">
        <v>1.0</v>
      </c>
      <c r="F914" s="19">
        <v>14100.0</v>
      </c>
      <c r="G914" s="13">
        <v>14100.0</v>
      </c>
    </row>
    <row r="915">
      <c r="D915" s="13" t="s">
        <v>1094</v>
      </c>
      <c r="E915" s="13" t="s">
        <v>426</v>
      </c>
      <c r="F915" s="13">
        <v>7000.0</v>
      </c>
      <c r="G915" s="13">
        <v>7000.0</v>
      </c>
    </row>
    <row r="916">
      <c r="C916" s="14"/>
      <c r="D916" s="13"/>
      <c r="E916" s="13"/>
      <c r="F916" s="13"/>
    </row>
    <row r="917">
      <c r="A917" s="13" t="s">
        <v>1095</v>
      </c>
      <c r="B917" s="13"/>
      <c r="C917" s="79" t="s">
        <v>1096</v>
      </c>
      <c r="D917" s="13" t="s">
        <v>780</v>
      </c>
      <c r="E917" s="13" t="s">
        <v>426</v>
      </c>
      <c r="F917" s="13">
        <v>12000.0</v>
      </c>
      <c r="G917" s="13">
        <v>12000.0</v>
      </c>
    </row>
    <row r="918">
      <c r="D918" s="13" t="s">
        <v>1097</v>
      </c>
      <c r="E918" s="13" t="s">
        <v>693</v>
      </c>
      <c r="F918" s="13">
        <v>3500.0</v>
      </c>
      <c r="G918" s="13">
        <v>3500.0</v>
      </c>
    </row>
    <row r="919">
      <c r="D919" s="13" t="s">
        <v>568</v>
      </c>
      <c r="E919" s="13" t="s">
        <v>426</v>
      </c>
      <c r="F919" s="13">
        <v>2400.0</v>
      </c>
      <c r="G919" s="13">
        <v>2400.0</v>
      </c>
    </row>
    <row r="920">
      <c r="D920" s="13" t="s">
        <v>1098</v>
      </c>
      <c r="E920" s="13">
        <v>1.0</v>
      </c>
      <c r="F920" s="13">
        <v>9000.0</v>
      </c>
      <c r="G920" s="13">
        <v>9000.0</v>
      </c>
    </row>
    <row r="921">
      <c r="D921" s="13" t="s">
        <v>441</v>
      </c>
      <c r="E921" s="13">
        <v>1.0</v>
      </c>
      <c r="F921" s="13">
        <v>1600.0</v>
      </c>
      <c r="G921" s="13">
        <v>1600.0</v>
      </c>
    </row>
    <row r="922">
      <c r="D922" s="13" t="s">
        <v>1099</v>
      </c>
      <c r="E922" s="13" t="s">
        <v>727</v>
      </c>
      <c r="F922" s="13">
        <v>1700.0</v>
      </c>
      <c r="G922" s="13">
        <v>1700.0</v>
      </c>
    </row>
    <row r="923">
      <c r="D923" s="13" t="s">
        <v>1100</v>
      </c>
      <c r="E923" s="13">
        <v>1.0</v>
      </c>
      <c r="F923" s="13">
        <v>1200.0</v>
      </c>
      <c r="G923" s="13">
        <v>1200.0</v>
      </c>
    </row>
    <row r="925">
      <c r="C925" s="79" t="s">
        <v>560</v>
      </c>
      <c r="D925" s="13" t="s">
        <v>1101</v>
      </c>
      <c r="E925" s="13" t="s">
        <v>426</v>
      </c>
      <c r="F925" s="13">
        <v>15500.0</v>
      </c>
      <c r="G925" s="13">
        <v>15500.0</v>
      </c>
    </row>
    <row r="928">
      <c r="A928" s="13" t="s">
        <v>808</v>
      </c>
      <c r="B928" s="13"/>
      <c r="C928" s="79" t="s">
        <v>1102</v>
      </c>
      <c r="D928" s="13" t="s">
        <v>1103</v>
      </c>
      <c r="E928" s="13" t="s">
        <v>426</v>
      </c>
      <c r="F928" s="13">
        <v>4700.0</v>
      </c>
      <c r="G928" s="13">
        <v>4700.0</v>
      </c>
    </row>
    <row r="929">
      <c r="D929" s="13" t="s">
        <v>1104</v>
      </c>
      <c r="E929" s="13" t="s">
        <v>426</v>
      </c>
      <c r="F929" s="13">
        <v>7000.0</v>
      </c>
      <c r="G929" s="13">
        <v>7000.0</v>
      </c>
    </row>
    <row r="930">
      <c r="D930" s="13" t="s">
        <v>1105</v>
      </c>
      <c r="E930" s="13" t="s">
        <v>426</v>
      </c>
      <c r="F930" s="13">
        <v>15000.0</v>
      </c>
      <c r="G930" s="13">
        <v>15000.0</v>
      </c>
    </row>
    <row r="932">
      <c r="C932" s="79"/>
    </row>
    <row r="934">
      <c r="A934" s="13" t="s">
        <v>811</v>
      </c>
      <c r="B934" s="13"/>
      <c r="C934" s="79" t="s">
        <v>987</v>
      </c>
      <c r="D934" s="13" t="s">
        <v>1106</v>
      </c>
      <c r="E934" s="13">
        <v>1.0</v>
      </c>
      <c r="F934" s="13"/>
      <c r="G934" s="13">
        <v>3600.0</v>
      </c>
    </row>
    <row r="935">
      <c r="D935" s="13" t="s">
        <v>1107</v>
      </c>
      <c r="E935" s="13">
        <v>1.0</v>
      </c>
    </row>
    <row r="937">
      <c r="A937" s="13" t="s">
        <v>811</v>
      </c>
      <c r="C937" s="79" t="s">
        <v>466</v>
      </c>
      <c r="D937" s="13" t="s">
        <v>630</v>
      </c>
      <c r="E937" s="13" t="s">
        <v>426</v>
      </c>
      <c r="G937" s="13">
        <v>7000.0</v>
      </c>
    </row>
    <row r="939">
      <c r="A939" s="13" t="s">
        <v>645</v>
      </c>
      <c r="C939" s="79" t="s">
        <v>935</v>
      </c>
      <c r="D939" s="13" t="s">
        <v>908</v>
      </c>
      <c r="E939" s="13" t="s">
        <v>426</v>
      </c>
      <c r="G939" s="13">
        <v>7000.0</v>
      </c>
    </row>
    <row r="940">
      <c r="H940" s="13">
        <v>29700.0</v>
      </c>
      <c r="I940" s="13" t="s">
        <v>965</v>
      </c>
    </row>
    <row r="942">
      <c r="A942" s="87">
        <v>45865.0</v>
      </c>
      <c r="B942" s="88"/>
    </row>
    <row r="943">
      <c r="B943" s="13" t="s">
        <v>928</v>
      </c>
      <c r="C943" s="79" t="s">
        <v>482</v>
      </c>
      <c r="D943" s="13" t="s">
        <v>1108</v>
      </c>
      <c r="E943" s="13" t="s">
        <v>434</v>
      </c>
      <c r="F943" s="13">
        <v>4400.0</v>
      </c>
      <c r="G943" s="13">
        <v>13200.0</v>
      </c>
    </row>
    <row r="944">
      <c r="D944" s="13" t="s">
        <v>780</v>
      </c>
      <c r="E944" s="13" t="s">
        <v>426</v>
      </c>
      <c r="F944" s="19">
        <v>12000.0</v>
      </c>
      <c r="G944" s="13">
        <v>12000.0</v>
      </c>
    </row>
    <row r="945">
      <c r="D945" s="13" t="s">
        <v>640</v>
      </c>
      <c r="E945" s="13" t="s">
        <v>426</v>
      </c>
      <c r="F945" s="13">
        <v>5700.0</v>
      </c>
      <c r="G945" s="13">
        <v>5700.0</v>
      </c>
    </row>
    <row r="948">
      <c r="B948" s="13" t="s">
        <v>928</v>
      </c>
      <c r="C948" s="79" t="s">
        <v>1109</v>
      </c>
      <c r="D948" s="13" t="s">
        <v>1110</v>
      </c>
      <c r="E948" s="13">
        <v>2.0</v>
      </c>
      <c r="F948" s="19">
        <v>10000.0</v>
      </c>
      <c r="G948" s="19">
        <v>20000.0</v>
      </c>
    </row>
    <row r="949">
      <c r="D949" s="13" t="s">
        <v>1111</v>
      </c>
      <c r="E949" s="13" t="s">
        <v>426</v>
      </c>
      <c r="F949" s="13">
        <v>7000.0</v>
      </c>
      <c r="G949" s="13">
        <v>7000.0</v>
      </c>
    </row>
    <row r="950">
      <c r="D950" s="13"/>
      <c r="E950" s="13"/>
    </row>
    <row r="951">
      <c r="B951" s="13" t="s">
        <v>928</v>
      </c>
      <c r="C951" s="79" t="s">
        <v>638</v>
      </c>
      <c r="D951" s="13" t="s">
        <v>1053</v>
      </c>
      <c r="E951" s="13" t="s">
        <v>426</v>
      </c>
      <c r="F951" s="19">
        <v>20000.0</v>
      </c>
      <c r="G951" s="19">
        <v>20000.0</v>
      </c>
    </row>
    <row r="952">
      <c r="C952" s="13"/>
      <c r="D952" s="13"/>
      <c r="E952" s="13"/>
      <c r="F952" s="19"/>
      <c r="G952" s="19"/>
    </row>
    <row r="953">
      <c r="C953" s="13"/>
      <c r="D953" s="13"/>
      <c r="E953" s="13"/>
      <c r="F953" s="19"/>
      <c r="G953" s="19"/>
    </row>
    <row r="956">
      <c r="B956" s="13" t="s">
        <v>811</v>
      </c>
      <c r="C956" s="79" t="s">
        <v>1112</v>
      </c>
      <c r="D956" s="13" t="s">
        <v>577</v>
      </c>
      <c r="E956" s="13" t="s">
        <v>426</v>
      </c>
      <c r="F956" s="13">
        <v>20000.0</v>
      </c>
      <c r="G956" s="13">
        <v>20000.0</v>
      </c>
    </row>
    <row r="959">
      <c r="B959" s="13" t="s">
        <v>928</v>
      </c>
      <c r="C959" s="79" t="s">
        <v>1113</v>
      </c>
      <c r="D959" s="13" t="s">
        <v>1053</v>
      </c>
      <c r="E959" s="13" t="s">
        <v>727</v>
      </c>
      <c r="F959" s="13">
        <v>10000.0</v>
      </c>
      <c r="G959" s="13">
        <v>10000.0</v>
      </c>
    </row>
    <row r="960">
      <c r="D960" s="13" t="s">
        <v>1114</v>
      </c>
      <c r="E960" s="13">
        <v>1.0</v>
      </c>
      <c r="F960" s="13">
        <v>4000.0</v>
      </c>
      <c r="G960" s="13">
        <v>4000.0</v>
      </c>
    </row>
    <row r="961">
      <c r="D961" s="13" t="s">
        <v>1115</v>
      </c>
      <c r="E961" s="13">
        <v>1.0</v>
      </c>
      <c r="F961" s="13">
        <v>4800.0</v>
      </c>
      <c r="G961" s="13">
        <v>4800.0</v>
      </c>
    </row>
    <row r="962">
      <c r="D962" s="13" t="s">
        <v>1116</v>
      </c>
      <c r="E962" s="13">
        <v>2.0</v>
      </c>
      <c r="F962" s="13">
        <v>1600.0</v>
      </c>
      <c r="G962" s="13">
        <v>3200.0</v>
      </c>
    </row>
    <row r="963">
      <c r="D963" s="13" t="s">
        <v>1117</v>
      </c>
      <c r="E963" s="13">
        <v>2.0</v>
      </c>
      <c r="F963" s="13">
        <v>2000.0</v>
      </c>
      <c r="G963" s="13">
        <v>4000.0</v>
      </c>
    </row>
    <row r="964">
      <c r="D964" s="13" t="s">
        <v>1118</v>
      </c>
      <c r="E964" s="13" t="s">
        <v>426</v>
      </c>
      <c r="F964" s="13">
        <v>3500.0</v>
      </c>
      <c r="G964" s="13">
        <v>3500.0</v>
      </c>
    </row>
    <row r="965">
      <c r="D965" s="13" t="s">
        <v>1119</v>
      </c>
      <c r="E965" s="13" t="s">
        <v>426</v>
      </c>
      <c r="F965" s="19">
        <v>14000.0</v>
      </c>
      <c r="G965" s="13">
        <v>14000.0</v>
      </c>
    </row>
    <row r="966">
      <c r="D966" s="13" t="s">
        <v>1120</v>
      </c>
      <c r="E966" s="13" t="s">
        <v>426</v>
      </c>
      <c r="F966" s="13">
        <v>17000.0</v>
      </c>
      <c r="G966" s="13">
        <v>17000.0</v>
      </c>
    </row>
    <row r="969">
      <c r="B969" s="13" t="s">
        <v>928</v>
      </c>
      <c r="C969" s="79" t="s">
        <v>1121</v>
      </c>
      <c r="D969" s="13" t="s">
        <v>669</v>
      </c>
      <c r="E969" s="13" t="s">
        <v>426</v>
      </c>
      <c r="F969" s="19">
        <v>15000.0</v>
      </c>
      <c r="G969" s="13">
        <v>15000.0</v>
      </c>
    </row>
    <row r="970">
      <c r="D970" s="13" t="s">
        <v>1122</v>
      </c>
      <c r="E970" s="13" t="s">
        <v>426</v>
      </c>
      <c r="F970" s="13">
        <v>16000.0</v>
      </c>
      <c r="G970" s="13">
        <v>16000.0</v>
      </c>
    </row>
    <row r="971">
      <c r="D971" s="13" t="s">
        <v>551</v>
      </c>
      <c r="E971" s="13" t="s">
        <v>1123</v>
      </c>
      <c r="F971" s="19">
        <v>20000.0</v>
      </c>
      <c r="G971" s="13">
        <v>20000.0</v>
      </c>
    </row>
    <row r="972">
      <c r="D972" s="13" t="s">
        <v>842</v>
      </c>
      <c r="E972" s="13" t="s">
        <v>426</v>
      </c>
      <c r="F972" s="13">
        <v>5800.0</v>
      </c>
      <c r="G972" s="13">
        <v>5800.0</v>
      </c>
    </row>
    <row r="973">
      <c r="D973" s="13" t="s">
        <v>758</v>
      </c>
      <c r="E973" s="13" t="s">
        <v>426</v>
      </c>
      <c r="F973" s="13">
        <v>4400.0</v>
      </c>
      <c r="G973" s="13">
        <v>4400.0</v>
      </c>
    </row>
    <row r="974">
      <c r="D974" s="13" t="s">
        <v>716</v>
      </c>
      <c r="E974" s="13" t="s">
        <v>426</v>
      </c>
      <c r="F974" s="13">
        <v>7300.0</v>
      </c>
      <c r="G974" s="13">
        <v>7300.0</v>
      </c>
    </row>
    <row r="975">
      <c r="D975" s="13" t="s">
        <v>1124</v>
      </c>
      <c r="E975" s="13">
        <v>1.0</v>
      </c>
      <c r="F975" s="13">
        <v>6000.0</v>
      </c>
      <c r="G975" s="13">
        <v>6000.0</v>
      </c>
    </row>
    <row r="976">
      <c r="D976" s="13" t="s">
        <v>1125</v>
      </c>
      <c r="E976" s="13">
        <v>1.0</v>
      </c>
      <c r="F976" s="13">
        <v>3800.0</v>
      </c>
      <c r="G976" s="13">
        <v>3800.0</v>
      </c>
    </row>
    <row r="978">
      <c r="B978" s="13" t="s">
        <v>967</v>
      </c>
      <c r="C978" s="79" t="s">
        <v>1126</v>
      </c>
      <c r="D978" s="13" t="s">
        <v>598</v>
      </c>
      <c r="E978" s="13" t="s">
        <v>426</v>
      </c>
      <c r="F978" s="13">
        <v>20000.0</v>
      </c>
      <c r="G978" s="13">
        <v>20000.0</v>
      </c>
    </row>
    <row r="979">
      <c r="D979" s="13"/>
    </row>
    <row r="980">
      <c r="B980" s="13" t="s">
        <v>967</v>
      </c>
      <c r="C980" s="79" t="s">
        <v>1027</v>
      </c>
      <c r="D980" s="13" t="s">
        <v>822</v>
      </c>
      <c r="E980" s="13" t="s">
        <v>429</v>
      </c>
      <c r="F980" s="13">
        <v>15000.0</v>
      </c>
      <c r="G980" s="13">
        <v>30000.0</v>
      </c>
    </row>
    <row r="982">
      <c r="B982" s="13" t="s">
        <v>967</v>
      </c>
      <c r="C982" s="79" t="s">
        <v>1127</v>
      </c>
      <c r="D982" s="13" t="s">
        <v>1128</v>
      </c>
      <c r="E982" s="13" t="s">
        <v>426</v>
      </c>
      <c r="F982" s="13">
        <v>15000.0</v>
      </c>
      <c r="G982" s="13">
        <v>15000.0</v>
      </c>
    </row>
    <row r="984">
      <c r="B984" s="13" t="s">
        <v>967</v>
      </c>
      <c r="C984" s="79" t="s">
        <v>466</v>
      </c>
      <c r="D984" s="13" t="s">
        <v>551</v>
      </c>
      <c r="E984" s="13" t="s">
        <v>426</v>
      </c>
      <c r="G984" s="13">
        <v>20000.0</v>
      </c>
    </row>
    <row r="985">
      <c r="D985" s="13" t="s">
        <v>822</v>
      </c>
      <c r="E985" s="13" t="s">
        <v>426</v>
      </c>
      <c r="F985" s="13">
        <v>15000.0</v>
      </c>
      <c r="G985" s="13">
        <v>15000.0</v>
      </c>
    </row>
    <row r="987">
      <c r="B987" s="13" t="s">
        <v>967</v>
      </c>
      <c r="C987" s="79" t="s">
        <v>1129</v>
      </c>
      <c r="D987" s="13" t="s">
        <v>822</v>
      </c>
      <c r="E987" s="13" t="s">
        <v>429</v>
      </c>
      <c r="F987" s="13">
        <v>15000.0</v>
      </c>
      <c r="G987" s="13">
        <v>30000.0</v>
      </c>
    </row>
    <row r="988">
      <c r="D988" s="13" t="s">
        <v>1130</v>
      </c>
      <c r="E988" s="13" t="s">
        <v>426</v>
      </c>
      <c r="G988" s="13">
        <v>23000.0</v>
      </c>
    </row>
    <row r="989">
      <c r="D989" s="13" t="s">
        <v>673</v>
      </c>
      <c r="E989" s="13" t="s">
        <v>426</v>
      </c>
      <c r="G989" s="13">
        <v>29000.0</v>
      </c>
    </row>
    <row r="990">
      <c r="D990" s="13" t="s">
        <v>606</v>
      </c>
      <c r="E990" s="13" t="s">
        <v>426</v>
      </c>
      <c r="G990" s="13">
        <v>5700.0</v>
      </c>
    </row>
    <row r="992">
      <c r="B992" s="13" t="s">
        <v>1131</v>
      </c>
      <c r="C992" s="79" t="s">
        <v>1132</v>
      </c>
      <c r="D992" s="13" t="s">
        <v>1133</v>
      </c>
      <c r="E992" s="13" t="s">
        <v>426</v>
      </c>
      <c r="G992" s="13">
        <v>5700.0</v>
      </c>
    </row>
    <row r="993">
      <c r="D993" s="13" t="s">
        <v>675</v>
      </c>
      <c r="E993" s="13" t="s">
        <v>426</v>
      </c>
      <c r="G993" s="13">
        <v>2500.0</v>
      </c>
    </row>
    <row r="995">
      <c r="B995" s="13" t="s">
        <v>967</v>
      </c>
      <c r="C995" s="79" t="s">
        <v>1134</v>
      </c>
      <c r="D995" s="13" t="s">
        <v>630</v>
      </c>
      <c r="E995" s="13" t="s">
        <v>426</v>
      </c>
      <c r="F995" s="13">
        <v>7000.0</v>
      </c>
      <c r="G995" s="13">
        <v>7000.0</v>
      </c>
    </row>
    <row r="996">
      <c r="D996" s="13" t="s">
        <v>1135</v>
      </c>
      <c r="E996" s="13" t="s">
        <v>426</v>
      </c>
      <c r="F996" s="13">
        <v>7700.0</v>
      </c>
      <c r="G996" s="13">
        <v>7700.0</v>
      </c>
    </row>
    <row r="997">
      <c r="D997" s="13" t="s">
        <v>1136</v>
      </c>
      <c r="E997" s="13" t="s">
        <v>426</v>
      </c>
      <c r="F997" s="13">
        <v>5000.0</v>
      </c>
      <c r="G997" s="13">
        <v>5000.0</v>
      </c>
    </row>
    <row r="999">
      <c r="B999" s="13" t="s">
        <v>1137</v>
      </c>
      <c r="C999" s="79" t="s">
        <v>1138</v>
      </c>
      <c r="D999" s="13" t="s">
        <v>732</v>
      </c>
      <c r="E999" s="13" t="s">
        <v>429</v>
      </c>
      <c r="G999" s="13">
        <v>24000.0</v>
      </c>
    </row>
    <row r="1001">
      <c r="B1001" s="13" t="s">
        <v>916</v>
      </c>
      <c r="C1001" s="79" t="s">
        <v>1139</v>
      </c>
      <c r="D1001" s="13" t="s">
        <v>963</v>
      </c>
      <c r="E1001" s="13" t="s">
        <v>426</v>
      </c>
      <c r="G1001" s="13">
        <v>11100.0</v>
      </c>
    </row>
    <row r="1003">
      <c r="C1003" s="79" t="s">
        <v>542</v>
      </c>
      <c r="D1003" s="13" t="s">
        <v>540</v>
      </c>
      <c r="E1003" s="13" t="s">
        <v>426</v>
      </c>
      <c r="G1003" s="13">
        <v>2400.0</v>
      </c>
    </row>
    <row r="1004">
      <c r="D1004" s="13" t="s">
        <v>823</v>
      </c>
      <c r="E1004" s="13" t="s">
        <v>426</v>
      </c>
      <c r="G1004" s="13">
        <v>2400.0</v>
      </c>
    </row>
    <row r="1005">
      <c r="D1005" s="13" t="s">
        <v>1101</v>
      </c>
      <c r="E1005" s="13" t="s">
        <v>426</v>
      </c>
      <c r="G1005" s="13">
        <v>13100.0</v>
      </c>
      <c r="H1005" s="13" t="s">
        <v>514</v>
      </c>
    </row>
    <row r="1006">
      <c r="D1006" s="13" t="s">
        <v>1140</v>
      </c>
      <c r="E1006" s="13">
        <v>1.0</v>
      </c>
      <c r="G1006" s="13">
        <v>1900.0</v>
      </c>
    </row>
    <row r="1009">
      <c r="B1009" s="13" t="s">
        <v>967</v>
      </c>
      <c r="C1009" s="79" t="s">
        <v>1141</v>
      </c>
      <c r="D1009" s="13" t="s">
        <v>1107</v>
      </c>
      <c r="E1009" s="13">
        <v>1.0</v>
      </c>
      <c r="F1009" s="13">
        <v>3600.0</v>
      </c>
      <c r="G1009" s="13">
        <v>3600.0</v>
      </c>
    </row>
    <row r="1011">
      <c r="B1011" s="13" t="s">
        <v>1142</v>
      </c>
      <c r="C1011" s="79" t="s">
        <v>714</v>
      </c>
    </row>
    <row r="1012">
      <c r="D1012" s="13" t="s">
        <v>540</v>
      </c>
      <c r="E1012" s="13" t="s">
        <v>426</v>
      </c>
      <c r="F1012" s="13">
        <v>2400.0</v>
      </c>
      <c r="G1012" s="13">
        <v>2400.0</v>
      </c>
    </row>
    <row r="1013">
      <c r="D1013" s="13" t="s">
        <v>799</v>
      </c>
      <c r="E1013" s="13" t="s">
        <v>426</v>
      </c>
    </row>
    <row r="1014">
      <c r="D1014" s="13" t="s">
        <v>598</v>
      </c>
      <c r="E1014" s="13" t="s">
        <v>727</v>
      </c>
      <c r="F1014" s="13">
        <v>8250.0</v>
      </c>
      <c r="G1014" s="13">
        <v>8250.0</v>
      </c>
    </row>
    <row r="1015">
      <c r="D1015" s="13" t="s">
        <v>758</v>
      </c>
      <c r="E1015" s="13" t="s">
        <v>429</v>
      </c>
      <c r="F1015" s="13">
        <v>3300.0</v>
      </c>
      <c r="G1015" s="13">
        <v>6600.0</v>
      </c>
    </row>
    <row r="1016">
      <c r="D1016" s="13" t="s">
        <v>1143</v>
      </c>
      <c r="E1016" s="13">
        <v>1.0</v>
      </c>
      <c r="F1016" s="13">
        <v>1180.0</v>
      </c>
      <c r="G1016" s="13">
        <v>1180.0</v>
      </c>
    </row>
    <row r="1017">
      <c r="D1017" s="13"/>
      <c r="E1017" s="13"/>
    </row>
    <row r="1018">
      <c r="B1018" s="13" t="s">
        <v>928</v>
      </c>
      <c r="C1018" s="79" t="s">
        <v>1144</v>
      </c>
      <c r="D1018" s="13" t="s">
        <v>908</v>
      </c>
      <c r="E1018" s="13" t="s">
        <v>727</v>
      </c>
      <c r="F1018" s="13">
        <v>4000.0</v>
      </c>
      <c r="G1018" s="13">
        <v>4000.0</v>
      </c>
    </row>
    <row r="1020">
      <c r="B1020" s="13" t="s">
        <v>967</v>
      </c>
      <c r="C1020" s="79" t="s">
        <v>1145</v>
      </c>
      <c r="D1020" s="13" t="s">
        <v>1146</v>
      </c>
      <c r="E1020" s="13" t="s">
        <v>426</v>
      </c>
      <c r="F1020" s="13">
        <v>5700.0</v>
      </c>
      <c r="G1020" s="13">
        <v>5700.0</v>
      </c>
    </row>
    <row r="1021">
      <c r="D1021" s="13" t="s">
        <v>564</v>
      </c>
      <c r="E1021" s="13" t="s">
        <v>752</v>
      </c>
      <c r="F1021" s="13">
        <v>7700.0</v>
      </c>
      <c r="G1021" s="13">
        <v>7700.0</v>
      </c>
    </row>
    <row r="1022">
      <c r="D1022" s="13" t="s">
        <v>1147</v>
      </c>
      <c r="E1022" s="13" t="s">
        <v>426</v>
      </c>
      <c r="F1022" s="13">
        <v>7000.0</v>
      </c>
      <c r="G1022" s="13">
        <v>7000.0</v>
      </c>
    </row>
    <row r="1023">
      <c r="D1023" s="13" t="s">
        <v>1148</v>
      </c>
      <c r="E1023" s="13">
        <v>1.0</v>
      </c>
      <c r="F1023" s="13">
        <v>1500.0</v>
      </c>
      <c r="G1023" s="13">
        <v>1500.0</v>
      </c>
    </row>
    <row r="1024">
      <c r="D1024" s="13" t="s">
        <v>446</v>
      </c>
      <c r="E1024" s="13" t="s">
        <v>426</v>
      </c>
      <c r="F1024" s="13">
        <v>3600.0</v>
      </c>
      <c r="G1024" s="13">
        <v>3600.0</v>
      </c>
    </row>
    <row r="1025">
      <c r="D1025" s="13" t="s">
        <v>758</v>
      </c>
      <c r="E1025" s="13" t="s">
        <v>426</v>
      </c>
      <c r="F1025" s="13">
        <v>4400.0</v>
      </c>
      <c r="G1025" s="13">
        <v>4400.0</v>
      </c>
    </row>
    <row r="1027">
      <c r="B1027" s="13" t="s">
        <v>928</v>
      </c>
      <c r="C1027" s="79" t="s">
        <v>1149</v>
      </c>
      <c r="D1027" s="13" t="s">
        <v>1150</v>
      </c>
      <c r="E1027" s="13" t="s">
        <v>426</v>
      </c>
      <c r="F1027" s="13">
        <v>20000.0</v>
      </c>
      <c r="G1027" s="13">
        <v>20000.0</v>
      </c>
    </row>
    <row r="1028">
      <c r="D1028" s="13" t="s">
        <v>1136</v>
      </c>
      <c r="E1028" s="13" t="s">
        <v>727</v>
      </c>
      <c r="F1028" s="13">
        <v>3000.0</v>
      </c>
      <c r="G1028" s="13">
        <v>3000.0</v>
      </c>
    </row>
    <row r="1029">
      <c r="D1029" s="13" t="s">
        <v>552</v>
      </c>
      <c r="E1029" s="13" t="s">
        <v>426</v>
      </c>
      <c r="F1029" s="13">
        <v>7700.0</v>
      </c>
      <c r="G1029" s="13">
        <v>7700.0</v>
      </c>
    </row>
    <row r="1030">
      <c r="D1030" s="13"/>
      <c r="E1030" s="13"/>
      <c r="F1030" s="13"/>
    </row>
    <row r="1033">
      <c r="B1033" s="13" t="s">
        <v>1151</v>
      </c>
      <c r="C1033" s="79" t="s">
        <v>472</v>
      </c>
      <c r="D1033" s="13" t="s">
        <v>551</v>
      </c>
      <c r="E1033" s="13" t="s">
        <v>426</v>
      </c>
      <c r="F1033" s="13">
        <v>20000.0</v>
      </c>
      <c r="G1033" s="13">
        <v>20000.0</v>
      </c>
    </row>
    <row r="1034">
      <c r="D1034" s="13" t="s">
        <v>595</v>
      </c>
      <c r="E1034" s="13" t="s">
        <v>426</v>
      </c>
      <c r="F1034" s="13">
        <v>4400.0</v>
      </c>
      <c r="G1034" s="13">
        <v>4400.0</v>
      </c>
    </row>
    <row r="1035">
      <c r="D1035" s="13" t="s">
        <v>607</v>
      </c>
      <c r="E1035" s="13" t="s">
        <v>426</v>
      </c>
      <c r="F1035" s="13">
        <v>7300.0</v>
      </c>
      <c r="G1035" s="13">
        <v>7300.0</v>
      </c>
    </row>
    <row r="1037">
      <c r="B1037" s="13" t="s">
        <v>928</v>
      </c>
      <c r="C1037" s="79" t="s">
        <v>1152</v>
      </c>
      <c r="D1037" s="13" t="s">
        <v>1153</v>
      </c>
      <c r="E1037" s="13" t="s">
        <v>426</v>
      </c>
      <c r="F1037" s="13">
        <v>12000.0</v>
      </c>
      <c r="G1037" s="13">
        <v>12000.0</v>
      </c>
    </row>
    <row r="1038">
      <c r="D1038" s="13" t="s">
        <v>606</v>
      </c>
      <c r="E1038" s="13" t="s">
        <v>426</v>
      </c>
      <c r="F1038" s="13">
        <v>5700.0</v>
      </c>
      <c r="G1038" s="13">
        <v>5700.0</v>
      </c>
    </row>
    <row r="1039">
      <c r="D1039" s="13" t="s">
        <v>446</v>
      </c>
      <c r="E1039" s="13" t="s">
        <v>727</v>
      </c>
      <c r="F1039" s="13">
        <v>1800.0</v>
      </c>
      <c r="G1039" s="13">
        <v>1800.0</v>
      </c>
    </row>
    <row r="1040">
      <c r="D1040" s="13" t="s">
        <v>1154</v>
      </c>
      <c r="E1040" s="13">
        <v>1.0</v>
      </c>
      <c r="F1040" s="13">
        <v>4200.0</v>
      </c>
      <c r="G1040" s="13">
        <v>4200.0</v>
      </c>
    </row>
    <row r="1041">
      <c r="H1041" s="32">
        <f>649230-551900</f>
        <v>97330</v>
      </c>
      <c r="I1041" s="13" t="s">
        <v>965</v>
      </c>
    </row>
    <row r="1044">
      <c r="A1044" s="89"/>
      <c r="B1044" s="89"/>
      <c r="C1044" s="14"/>
      <c r="D1044" s="13"/>
      <c r="E1044" s="13"/>
      <c r="F1044" s="13"/>
    </row>
    <row r="1045">
      <c r="A1045" s="78">
        <v>45871.0</v>
      </c>
      <c r="B1045" s="14" t="s">
        <v>1155</v>
      </c>
      <c r="C1045" s="79" t="s">
        <v>1156</v>
      </c>
      <c r="D1045" s="13" t="s">
        <v>945</v>
      </c>
      <c r="E1045" s="13" t="s">
        <v>426</v>
      </c>
      <c r="F1045" s="13">
        <v>7500.0</v>
      </c>
      <c r="G1045" s="13">
        <v>7500.0</v>
      </c>
    </row>
    <row r="1046">
      <c r="D1046" s="13" t="s">
        <v>446</v>
      </c>
      <c r="E1046" s="13" t="s">
        <v>426</v>
      </c>
      <c r="F1046" s="13">
        <v>3500.0</v>
      </c>
      <c r="G1046" s="13">
        <v>3500.0</v>
      </c>
    </row>
    <row r="1047">
      <c r="D1047" s="13" t="s">
        <v>1157</v>
      </c>
      <c r="E1047" s="13" t="s">
        <v>426</v>
      </c>
      <c r="F1047" s="13">
        <v>7000.0</v>
      </c>
      <c r="G1047" s="13">
        <v>7000.0</v>
      </c>
    </row>
    <row r="1048">
      <c r="D1048" s="13" t="s">
        <v>606</v>
      </c>
      <c r="E1048" s="13" t="s">
        <v>426</v>
      </c>
      <c r="F1048" s="13">
        <v>5700.0</v>
      </c>
      <c r="G1048" s="13">
        <v>5700.0</v>
      </c>
    </row>
    <row r="1050">
      <c r="B1050" s="13" t="s">
        <v>960</v>
      </c>
      <c r="C1050" s="79" t="s">
        <v>1158</v>
      </c>
      <c r="D1050" s="13" t="s">
        <v>1159</v>
      </c>
      <c r="E1050" s="13" t="s">
        <v>426</v>
      </c>
      <c r="F1050" s="13">
        <v>17000.0</v>
      </c>
      <c r="G1050" s="13">
        <v>17000.0</v>
      </c>
    </row>
    <row r="1051">
      <c r="D1051" s="13" t="s">
        <v>551</v>
      </c>
      <c r="E1051" s="13" t="s">
        <v>426</v>
      </c>
      <c r="F1051" s="13">
        <v>20000.0</v>
      </c>
      <c r="G1051" s="13">
        <v>20000.0</v>
      </c>
    </row>
    <row r="1052">
      <c r="D1052" s="13"/>
      <c r="E1052" s="13"/>
      <c r="F1052" s="13"/>
    </row>
    <row r="1053">
      <c r="D1053" s="13"/>
      <c r="E1053" s="13"/>
      <c r="F1053" s="13"/>
    </row>
    <row r="1054">
      <c r="B1054" s="13" t="s">
        <v>928</v>
      </c>
      <c r="C1054" s="79" t="s">
        <v>1160</v>
      </c>
      <c r="D1054" s="13" t="s">
        <v>1161</v>
      </c>
      <c r="E1054" s="13" t="s">
        <v>426</v>
      </c>
      <c r="F1054" s="13">
        <v>17000.0</v>
      </c>
      <c r="G1054" s="13">
        <v>17000.0</v>
      </c>
    </row>
    <row r="1055">
      <c r="D1055" s="13"/>
      <c r="E1055" s="13"/>
      <c r="F1055" s="13"/>
    </row>
    <row r="1056">
      <c r="B1056" s="13" t="s">
        <v>792</v>
      </c>
      <c r="C1056" s="79" t="s">
        <v>1162</v>
      </c>
      <c r="D1056" s="13" t="s">
        <v>767</v>
      </c>
      <c r="E1056" s="13" t="s">
        <v>429</v>
      </c>
      <c r="F1056" s="13">
        <v>7700.0</v>
      </c>
      <c r="G1056" s="13">
        <v>15400.0</v>
      </c>
    </row>
    <row r="1057">
      <c r="D1057" s="13" t="s">
        <v>1163</v>
      </c>
      <c r="E1057" s="13" t="s">
        <v>426</v>
      </c>
      <c r="F1057" s="13">
        <v>15000.0</v>
      </c>
      <c r="G1057" s="13">
        <v>15000.0</v>
      </c>
      <c r="H1057" s="13" t="s">
        <v>1164</v>
      </c>
    </row>
    <row r="1058">
      <c r="D1058" s="13"/>
      <c r="E1058" s="13"/>
      <c r="F1058" s="13"/>
    </row>
    <row r="1059">
      <c r="B1059" s="13" t="s">
        <v>928</v>
      </c>
      <c r="C1059" s="79" t="s">
        <v>1165</v>
      </c>
      <c r="D1059" s="13" t="s">
        <v>1166</v>
      </c>
      <c r="E1059" s="13" t="s">
        <v>426</v>
      </c>
      <c r="F1059" s="13">
        <v>4100.0</v>
      </c>
      <c r="G1059" s="13">
        <v>4100.0</v>
      </c>
    </row>
    <row r="1060">
      <c r="D1060" s="13"/>
      <c r="E1060" s="13"/>
      <c r="F1060" s="13"/>
    </row>
    <row r="1061">
      <c r="D1061" s="13"/>
      <c r="E1061" s="13"/>
      <c r="F1061" s="13"/>
    </row>
    <row r="1062">
      <c r="B1062" s="13" t="s">
        <v>967</v>
      </c>
      <c r="C1062" s="79" t="s">
        <v>1167</v>
      </c>
      <c r="D1062" s="13" t="s">
        <v>1168</v>
      </c>
      <c r="E1062" s="13">
        <v>2.0</v>
      </c>
      <c r="F1062" s="13">
        <v>8200.0</v>
      </c>
      <c r="G1062" s="32">
        <f>F1062*E1062</f>
        <v>16400</v>
      </c>
    </row>
    <row r="1063">
      <c r="D1063" s="13" t="s">
        <v>446</v>
      </c>
      <c r="E1063" s="13" t="s">
        <v>426</v>
      </c>
      <c r="F1063" s="13">
        <v>3600.0</v>
      </c>
      <c r="G1063" s="13">
        <v>3600.0</v>
      </c>
    </row>
    <row r="1064">
      <c r="D1064" s="13" t="s">
        <v>908</v>
      </c>
      <c r="E1064" s="13" t="s">
        <v>426</v>
      </c>
      <c r="F1064" s="13">
        <v>7000.0</v>
      </c>
      <c r="G1064" s="13">
        <v>7000.0</v>
      </c>
    </row>
    <row r="1065">
      <c r="D1065" s="13" t="s">
        <v>606</v>
      </c>
      <c r="E1065" s="13" t="s">
        <v>426</v>
      </c>
      <c r="F1065" s="13">
        <v>5700.0</v>
      </c>
      <c r="G1065" s="13">
        <v>5700.0</v>
      </c>
    </row>
    <row r="1066">
      <c r="D1066" s="13"/>
      <c r="E1066" s="13"/>
      <c r="F1066" s="13"/>
    </row>
    <row r="1067">
      <c r="B1067" s="13" t="s">
        <v>967</v>
      </c>
      <c r="C1067" s="79" t="s">
        <v>1169</v>
      </c>
      <c r="D1067" s="13" t="s">
        <v>598</v>
      </c>
      <c r="E1067" s="13" t="s">
        <v>426</v>
      </c>
      <c r="F1067" s="13">
        <v>20000.0</v>
      </c>
      <c r="G1067" s="13">
        <v>20000.0</v>
      </c>
    </row>
    <row r="1068">
      <c r="D1068" s="13" t="s">
        <v>602</v>
      </c>
      <c r="E1068" s="13" t="s">
        <v>426</v>
      </c>
      <c r="F1068" s="13">
        <v>9000.0</v>
      </c>
      <c r="G1068" s="13">
        <v>9000.0</v>
      </c>
    </row>
    <row r="1069">
      <c r="D1069" s="13" t="s">
        <v>1170</v>
      </c>
      <c r="E1069" s="13">
        <v>1.0</v>
      </c>
      <c r="F1069" s="13">
        <v>5000.0</v>
      </c>
      <c r="G1069" s="13">
        <v>5000.0</v>
      </c>
    </row>
    <row r="1070">
      <c r="D1070" s="13"/>
      <c r="E1070" s="13"/>
      <c r="F1070" s="13"/>
    </row>
    <row r="1071">
      <c r="B1071" s="13" t="s">
        <v>967</v>
      </c>
      <c r="C1071" s="79" t="s">
        <v>1171</v>
      </c>
      <c r="D1071" s="13" t="s">
        <v>1128</v>
      </c>
      <c r="E1071" s="13" t="s">
        <v>429</v>
      </c>
      <c r="F1071" s="13">
        <v>15000.0</v>
      </c>
      <c r="G1071" s="13">
        <v>30000.0</v>
      </c>
    </row>
    <row r="1072">
      <c r="D1072" s="13"/>
      <c r="E1072" s="13"/>
      <c r="F1072" s="13"/>
    </row>
    <row r="1073">
      <c r="D1073" s="13"/>
      <c r="E1073" s="13"/>
      <c r="F1073" s="13"/>
    </row>
    <row r="1074">
      <c r="B1074" s="13" t="s">
        <v>967</v>
      </c>
      <c r="C1074" s="79" t="s">
        <v>1172</v>
      </c>
      <c r="D1074" s="13" t="s">
        <v>822</v>
      </c>
      <c r="E1074" s="13" t="s">
        <v>426</v>
      </c>
      <c r="F1074" s="13">
        <v>15000.0</v>
      </c>
      <c r="G1074" s="13">
        <v>15000.0</v>
      </c>
    </row>
    <row r="1075">
      <c r="D1075" s="13" t="s">
        <v>551</v>
      </c>
      <c r="E1075" s="13" t="s">
        <v>426</v>
      </c>
      <c r="F1075" s="13">
        <v>20000.0</v>
      </c>
      <c r="G1075" s="13">
        <v>20000.0</v>
      </c>
    </row>
    <row r="1076">
      <c r="D1076" s="13" t="s">
        <v>630</v>
      </c>
      <c r="E1076" s="13" t="s">
        <v>539</v>
      </c>
      <c r="F1076" s="13">
        <v>7000.0</v>
      </c>
      <c r="G1076" s="13">
        <v>7000.0</v>
      </c>
    </row>
    <row r="1077">
      <c r="D1077" s="13" t="s">
        <v>823</v>
      </c>
      <c r="E1077" s="13" t="s">
        <v>426</v>
      </c>
      <c r="F1077" s="13">
        <v>3000.0</v>
      </c>
      <c r="G1077" s="13">
        <v>3000.0</v>
      </c>
    </row>
    <row r="1078">
      <c r="D1078" s="13" t="s">
        <v>1173</v>
      </c>
      <c r="E1078" s="13">
        <v>2.0</v>
      </c>
      <c r="F1078" s="13">
        <v>1700.0</v>
      </c>
      <c r="G1078" s="32">
        <f>F1078*E1078</f>
        <v>3400</v>
      </c>
    </row>
    <row r="1079">
      <c r="D1079" s="13"/>
      <c r="E1079" s="13"/>
      <c r="F1079" s="13"/>
    </row>
    <row r="1080">
      <c r="D1080" s="13"/>
      <c r="E1080" s="13"/>
      <c r="F1080" s="13"/>
    </row>
    <row r="1081">
      <c r="B1081" s="13" t="s">
        <v>928</v>
      </c>
      <c r="C1081" s="79" t="s">
        <v>1174</v>
      </c>
      <c r="D1081" s="13" t="s">
        <v>598</v>
      </c>
      <c r="E1081" s="13" t="s">
        <v>1175</v>
      </c>
      <c r="F1081" s="13">
        <v>20000.0</v>
      </c>
      <c r="G1081" s="13">
        <v>20000.0</v>
      </c>
    </row>
    <row r="1082">
      <c r="D1082" s="13"/>
      <c r="E1082" s="13"/>
      <c r="F1082" s="13"/>
    </row>
    <row r="1083">
      <c r="D1083" s="13"/>
      <c r="E1083" s="13"/>
      <c r="F1083" s="13"/>
    </row>
    <row r="1084">
      <c r="B1084" s="13" t="s">
        <v>967</v>
      </c>
      <c r="C1084" s="79" t="s">
        <v>1176</v>
      </c>
      <c r="D1084" s="13" t="s">
        <v>586</v>
      </c>
      <c r="E1084" s="13" t="s">
        <v>539</v>
      </c>
      <c r="F1084" s="13">
        <v>5620.0</v>
      </c>
      <c r="G1084" s="13">
        <v>5600.0</v>
      </c>
    </row>
    <row r="1085">
      <c r="D1085" s="13"/>
      <c r="E1085" s="13"/>
      <c r="F1085" s="13"/>
    </row>
    <row r="1086">
      <c r="D1086" s="13"/>
      <c r="E1086" s="13"/>
      <c r="F1086" s="13"/>
    </row>
    <row r="1087">
      <c r="D1087" s="13"/>
      <c r="E1087" s="13"/>
      <c r="F1087" s="13"/>
    </row>
    <row r="1088">
      <c r="D1088" s="13"/>
      <c r="E1088" s="13"/>
      <c r="F1088" s="13"/>
    </row>
    <row r="1089">
      <c r="B1089" s="13" t="s">
        <v>967</v>
      </c>
      <c r="C1089" s="90" t="s">
        <v>1177</v>
      </c>
      <c r="D1089" s="91" t="s">
        <v>1178</v>
      </c>
      <c r="E1089" s="91" t="s">
        <v>426</v>
      </c>
      <c r="F1089" s="92">
        <v>12900.0</v>
      </c>
      <c r="G1089" s="13">
        <v>12900.0</v>
      </c>
    </row>
    <row r="1090">
      <c r="C1090" s="28"/>
      <c r="D1090" s="91"/>
      <c r="E1090" s="91"/>
      <c r="F1090" s="91"/>
    </row>
    <row r="1091">
      <c r="C1091" s="90" t="s">
        <v>542</v>
      </c>
      <c r="D1091" s="91" t="s">
        <v>822</v>
      </c>
      <c r="E1091" s="91" t="s">
        <v>426</v>
      </c>
      <c r="F1091" s="21"/>
      <c r="G1091" s="13">
        <v>11800.0</v>
      </c>
    </row>
    <row r="1092">
      <c r="C1092" s="28"/>
      <c r="D1092" s="91" t="s">
        <v>606</v>
      </c>
      <c r="E1092" s="91" t="s">
        <v>426</v>
      </c>
      <c r="F1092" s="21"/>
      <c r="G1092" s="13">
        <v>4700.0</v>
      </c>
    </row>
    <row r="1093">
      <c r="C1093" s="28"/>
      <c r="D1093" s="91" t="s">
        <v>558</v>
      </c>
      <c r="E1093" s="91" t="s">
        <v>426</v>
      </c>
      <c r="F1093" s="21"/>
      <c r="G1093" s="13">
        <v>3600.0</v>
      </c>
    </row>
    <row r="1094">
      <c r="C1094" s="28"/>
      <c r="D1094" s="91"/>
      <c r="E1094" s="91"/>
      <c r="F1094" s="91"/>
    </row>
    <row r="1095">
      <c r="B1095" s="13" t="s">
        <v>695</v>
      </c>
      <c r="C1095" s="79" t="s">
        <v>1179</v>
      </c>
      <c r="D1095" s="13" t="s">
        <v>780</v>
      </c>
      <c r="E1095" s="13" t="s">
        <v>426</v>
      </c>
      <c r="F1095" s="13">
        <v>12000.0</v>
      </c>
      <c r="G1095" s="13">
        <v>12000.0</v>
      </c>
    </row>
    <row r="1096">
      <c r="D1096" s="13" t="s">
        <v>60</v>
      </c>
      <c r="E1096" s="13" t="s">
        <v>426</v>
      </c>
      <c r="F1096" s="13">
        <v>10650.0</v>
      </c>
      <c r="G1096" s="13">
        <v>10650.0</v>
      </c>
    </row>
    <row r="1097">
      <c r="D1097" s="13" t="s">
        <v>1180</v>
      </c>
      <c r="E1097" s="13" t="s">
        <v>426</v>
      </c>
      <c r="F1097" s="13">
        <v>7000.0</v>
      </c>
      <c r="G1097" s="13">
        <v>7000.0</v>
      </c>
    </row>
    <row r="1098">
      <c r="D1098" s="13" t="s">
        <v>1181</v>
      </c>
      <c r="E1098" s="13" t="s">
        <v>429</v>
      </c>
      <c r="F1098" s="13">
        <v>4600.0</v>
      </c>
      <c r="G1098" s="13">
        <v>4600.0</v>
      </c>
    </row>
    <row r="1099">
      <c r="C1099" s="14"/>
      <c r="D1099" s="13"/>
      <c r="E1099" s="13"/>
      <c r="F1099" s="13"/>
    </row>
    <row r="1100">
      <c r="B1100" s="13" t="s">
        <v>1182</v>
      </c>
      <c r="C1100" s="79" t="s">
        <v>714</v>
      </c>
      <c r="D1100" s="13" t="s">
        <v>1183</v>
      </c>
      <c r="E1100" s="13" t="s">
        <v>426</v>
      </c>
      <c r="F1100" s="13" t="s">
        <v>1184</v>
      </c>
      <c r="G1100" s="13">
        <v>13900.0</v>
      </c>
    </row>
    <row r="1101">
      <c r="D1101" s="13" t="s">
        <v>577</v>
      </c>
      <c r="E1101" s="13" t="s">
        <v>426</v>
      </c>
      <c r="F1101" s="13"/>
      <c r="G1101" s="13">
        <v>16500.0</v>
      </c>
    </row>
    <row r="1102">
      <c r="D1102" s="26" t="s">
        <v>1185</v>
      </c>
      <c r="E1102" s="13">
        <v>2.0</v>
      </c>
      <c r="F1102" s="13">
        <v>1180.0</v>
      </c>
      <c r="G1102" s="32">
        <f>E1102*F1102</f>
        <v>2360</v>
      </c>
    </row>
    <row r="1103">
      <c r="D1103" s="22" t="s">
        <v>1186</v>
      </c>
      <c r="E1103" s="13">
        <v>1.0</v>
      </c>
      <c r="F1103" s="13">
        <v>1180.0</v>
      </c>
      <c r="G1103" s="13">
        <v>1180.0</v>
      </c>
    </row>
    <row r="1104">
      <c r="F1104" s="13"/>
    </row>
    <row r="1105">
      <c r="E1105" s="13"/>
      <c r="F1105" s="13"/>
    </row>
    <row r="1106">
      <c r="B1106" s="13" t="s">
        <v>928</v>
      </c>
      <c r="C1106" s="79" t="s">
        <v>1187</v>
      </c>
      <c r="D1106" s="13" t="s">
        <v>1188</v>
      </c>
      <c r="E1106" s="13">
        <v>1.0</v>
      </c>
      <c r="F1106" s="13">
        <v>5900.0</v>
      </c>
      <c r="G1106" s="13">
        <v>5900.0</v>
      </c>
    </row>
    <row r="1107">
      <c r="D1107" s="13" t="s">
        <v>1189</v>
      </c>
      <c r="E1107" s="13">
        <v>1.0</v>
      </c>
      <c r="F1107" s="13">
        <v>9400.0</v>
      </c>
      <c r="G1107" s="13">
        <v>9400.0</v>
      </c>
    </row>
    <row r="1108">
      <c r="D1108" s="13" t="s">
        <v>1190</v>
      </c>
      <c r="E1108" s="13" t="s">
        <v>426</v>
      </c>
      <c r="F1108" s="13">
        <v>3000.0</v>
      </c>
      <c r="G1108" s="13">
        <v>3000.0</v>
      </c>
    </row>
    <row r="1109">
      <c r="D1109" s="13"/>
      <c r="E1109" s="13"/>
      <c r="F1109" s="13"/>
    </row>
    <row r="1110">
      <c r="B1110" s="13" t="s">
        <v>521</v>
      </c>
      <c r="C1110" s="79" t="s">
        <v>1191</v>
      </c>
      <c r="D1110" s="13" t="s">
        <v>885</v>
      </c>
      <c r="E1110" s="13" t="s">
        <v>426</v>
      </c>
      <c r="F1110" s="13">
        <v>15000.0</v>
      </c>
      <c r="G1110" s="13">
        <v>15000.0</v>
      </c>
    </row>
    <row r="1111">
      <c r="D1111" s="13" t="s">
        <v>865</v>
      </c>
      <c r="E1111" s="13" t="s">
        <v>426</v>
      </c>
      <c r="F1111" s="13">
        <v>20000.0</v>
      </c>
      <c r="G1111" s="13">
        <v>20000.0</v>
      </c>
    </row>
    <row r="1112">
      <c r="D1112" s="13" t="s">
        <v>1192</v>
      </c>
      <c r="E1112" s="13" t="s">
        <v>426</v>
      </c>
      <c r="F1112" s="13">
        <v>7000.0</v>
      </c>
      <c r="G1112" s="13">
        <v>7000.0</v>
      </c>
    </row>
    <row r="1113">
      <c r="D1113" s="13" t="s">
        <v>640</v>
      </c>
      <c r="E1113" s="13" t="s">
        <v>426</v>
      </c>
      <c r="F1113" s="13">
        <v>5700.0</v>
      </c>
      <c r="G1113" s="13">
        <v>5700.0</v>
      </c>
    </row>
    <row r="1114">
      <c r="D1114" s="13" t="s">
        <v>677</v>
      </c>
      <c r="E1114" s="13" t="s">
        <v>426</v>
      </c>
      <c r="F1114" s="13">
        <v>3000.0</v>
      </c>
      <c r="G1114" s="13">
        <v>3000.0</v>
      </c>
    </row>
    <row r="1115">
      <c r="D1115" s="13" t="s">
        <v>1193</v>
      </c>
      <c r="E1115" s="13" t="s">
        <v>426</v>
      </c>
      <c r="F1115" s="13">
        <v>16000.0</v>
      </c>
      <c r="G1115" s="13">
        <v>16000.0</v>
      </c>
    </row>
    <row r="1116">
      <c r="D1116" s="13" t="s">
        <v>924</v>
      </c>
      <c r="E1116" s="13" t="s">
        <v>426</v>
      </c>
      <c r="F1116" s="13">
        <v>4400.0</v>
      </c>
      <c r="G1116" s="13">
        <v>4400.0</v>
      </c>
    </row>
    <row r="1117">
      <c r="D1117" s="13" t="s">
        <v>1194</v>
      </c>
      <c r="E1117" s="13" t="s">
        <v>426</v>
      </c>
      <c r="F1117" s="13">
        <v>12900.0</v>
      </c>
      <c r="G1117" s="13">
        <v>12900.0</v>
      </c>
    </row>
    <row r="1118">
      <c r="D1118" s="13"/>
      <c r="E1118" s="13"/>
      <c r="F1118" s="13"/>
    </row>
    <row r="1119">
      <c r="B1119" s="13" t="s">
        <v>928</v>
      </c>
      <c r="C1119" s="79" t="s">
        <v>1195</v>
      </c>
      <c r="D1119" s="13" t="s">
        <v>1196</v>
      </c>
      <c r="E1119" s="13" t="s">
        <v>426</v>
      </c>
      <c r="F1119" s="13">
        <v>9000.0</v>
      </c>
      <c r="G1119" s="13">
        <v>9000.0</v>
      </c>
    </row>
    <row r="1120">
      <c r="D1120" s="13" t="s">
        <v>1197</v>
      </c>
      <c r="E1120" s="13" t="s">
        <v>426</v>
      </c>
      <c r="F1120" s="13">
        <v>9400.0</v>
      </c>
      <c r="G1120" s="13">
        <v>9400.0</v>
      </c>
    </row>
    <row r="1121">
      <c r="D1121" s="13" t="s">
        <v>1198</v>
      </c>
      <c r="E1121" s="13" t="s">
        <v>426</v>
      </c>
      <c r="F1121" s="13">
        <v>9400.0</v>
      </c>
      <c r="G1121" s="13">
        <v>9400.0</v>
      </c>
    </row>
    <row r="1122">
      <c r="D1122" s="13" t="s">
        <v>1199</v>
      </c>
      <c r="E1122" s="13">
        <v>2.0</v>
      </c>
      <c r="F1122" s="13">
        <v>3600.0</v>
      </c>
      <c r="G1122" s="13">
        <v>7200.0</v>
      </c>
    </row>
    <row r="1123">
      <c r="D1123" s="13" t="s">
        <v>1200</v>
      </c>
      <c r="E1123" s="13">
        <v>5.0</v>
      </c>
      <c r="F1123" s="13">
        <v>3600.0</v>
      </c>
      <c r="G1123" s="13">
        <v>18000.0</v>
      </c>
    </row>
    <row r="1124">
      <c r="D1124" s="13"/>
      <c r="E1124" s="13"/>
      <c r="F1124" s="13"/>
    </row>
    <row r="1125">
      <c r="B1125" s="13" t="s">
        <v>928</v>
      </c>
      <c r="C1125" s="79" t="s">
        <v>1201</v>
      </c>
      <c r="D1125" s="13" t="s">
        <v>1202</v>
      </c>
      <c r="E1125" s="13" t="s">
        <v>429</v>
      </c>
      <c r="F1125" s="13">
        <v>4600.0</v>
      </c>
      <c r="G1125" s="13">
        <f>2*F1125</f>
        <v>9200</v>
      </c>
    </row>
    <row r="1126">
      <c r="D1126" s="13" t="s">
        <v>1104</v>
      </c>
      <c r="E1126" s="13" t="s">
        <v>426</v>
      </c>
      <c r="F1126" s="13">
        <v>7000.0</v>
      </c>
      <c r="G1126" s="13">
        <v>7000.0</v>
      </c>
    </row>
    <row r="1127">
      <c r="D1127" s="13" t="s">
        <v>1203</v>
      </c>
      <c r="E1127" s="13" t="s">
        <v>426</v>
      </c>
      <c r="F1127" s="13">
        <v>6500.0</v>
      </c>
      <c r="G1127" s="13">
        <v>6500.0</v>
      </c>
    </row>
    <row r="1128">
      <c r="D1128" s="13" t="s">
        <v>1204</v>
      </c>
      <c r="E1128" s="13">
        <v>1.0</v>
      </c>
      <c r="F1128" s="13">
        <v>1000.0</v>
      </c>
      <c r="G1128" s="13">
        <v>1000.0</v>
      </c>
    </row>
    <row r="1130">
      <c r="D1130" s="13" t="s">
        <v>1205</v>
      </c>
      <c r="E1130" s="13" t="s">
        <v>426</v>
      </c>
      <c r="F1130" s="13">
        <v>20000.0</v>
      </c>
      <c r="G1130" s="13">
        <v>20000.0</v>
      </c>
    </row>
    <row r="1131">
      <c r="A1131" s="93"/>
      <c r="B1131" s="93"/>
      <c r="C1131" s="93"/>
      <c r="D1131" s="14"/>
      <c r="E1131" s="14"/>
      <c r="F1131" s="14"/>
      <c r="G1131" s="93"/>
      <c r="H1131" s="93"/>
      <c r="I1131" s="93"/>
      <c r="J1131" s="93"/>
      <c r="K1131" s="93"/>
      <c r="L1131" s="93"/>
      <c r="M1131" s="93"/>
      <c r="N1131" s="93"/>
      <c r="O1131" s="93"/>
      <c r="P1131" s="93"/>
      <c r="Q1131" s="93"/>
      <c r="R1131" s="93"/>
      <c r="S1131" s="93"/>
      <c r="T1131" s="93"/>
      <c r="U1131" s="93"/>
      <c r="V1131" s="93"/>
      <c r="W1131" s="93"/>
      <c r="X1131" s="93"/>
      <c r="Y1131" s="93"/>
      <c r="Z1131" s="93"/>
      <c r="AA1131" s="93"/>
    </row>
    <row r="1132">
      <c r="A1132" s="93"/>
      <c r="B1132" s="14" t="s">
        <v>967</v>
      </c>
      <c r="C1132" s="79" t="s">
        <v>935</v>
      </c>
      <c r="D1132" s="14" t="s">
        <v>908</v>
      </c>
      <c r="E1132" s="14" t="s">
        <v>426</v>
      </c>
      <c r="F1132" s="14">
        <v>7000.0</v>
      </c>
      <c r="G1132" s="14">
        <v>7000.0</v>
      </c>
      <c r="H1132" s="93"/>
      <c r="I1132" s="93"/>
      <c r="J1132" s="93"/>
      <c r="K1132" s="93"/>
      <c r="L1132" s="93"/>
      <c r="M1132" s="93"/>
      <c r="N1132" s="93"/>
      <c r="O1132" s="93"/>
      <c r="P1132" s="93"/>
      <c r="Q1132" s="93"/>
      <c r="R1132" s="93"/>
      <c r="S1132" s="93"/>
      <c r="T1132" s="93"/>
      <c r="U1132" s="93"/>
      <c r="V1132" s="93"/>
      <c r="W1132" s="93"/>
      <c r="X1132" s="93"/>
      <c r="Y1132" s="93"/>
      <c r="Z1132" s="93"/>
      <c r="AA1132" s="93"/>
    </row>
    <row r="1133">
      <c r="A1133" s="93"/>
      <c r="B1133" s="93"/>
      <c r="C1133" s="93"/>
      <c r="D1133" s="14"/>
      <c r="E1133" s="14"/>
      <c r="F1133" s="14"/>
      <c r="G1133" s="93"/>
      <c r="H1133" s="93"/>
      <c r="I1133" s="93"/>
      <c r="J1133" s="93"/>
      <c r="K1133" s="93"/>
      <c r="L1133" s="93"/>
      <c r="M1133" s="93"/>
      <c r="N1133" s="93"/>
      <c r="O1133" s="93"/>
      <c r="P1133" s="93"/>
      <c r="Q1133" s="93"/>
      <c r="R1133" s="93"/>
      <c r="S1133" s="93"/>
      <c r="T1133" s="93"/>
      <c r="U1133" s="93"/>
      <c r="V1133" s="93"/>
      <c r="W1133" s="93"/>
      <c r="X1133" s="93"/>
      <c r="Y1133" s="93"/>
      <c r="Z1133" s="93"/>
      <c r="AA1133" s="93"/>
    </row>
    <row r="1134">
      <c r="A1134" s="93"/>
      <c r="B1134" s="14" t="s">
        <v>1131</v>
      </c>
      <c r="C1134" s="79" t="s">
        <v>1206</v>
      </c>
      <c r="D1134" s="14" t="s">
        <v>551</v>
      </c>
      <c r="E1134" s="14" t="s">
        <v>1024</v>
      </c>
      <c r="F1134" s="14">
        <v>10000.0</v>
      </c>
      <c r="G1134" s="14">
        <v>10000.0</v>
      </c>
      <c r="H1134" s="93"/>
      <c r="I1134" s="93"/>
      <c r="J1134" s="93"/>
      <c r="K1134" s="93"/>
      <c r="L1134" s="93"/>
      <c r="M1134" s="93"/>
      <c r="N1134" s="93"/>
      <c r="O1134" s="93"/>
      <c r="P1134" s="93"/>
      <c r="Q1134" s="93"/>
      <c r="R1134" s="93"/>
      <c r="S1134" s="93"/>
      <c r="T1134" s="93"/>
      <c r="U1134" s="93"/>
      <c r="V1134" s="93"/>
      <c r="W1134" s="93"/>
      <c r="X1134" s="93"/>
      <c r="Y1134" s="93"/>
      <c r="Z1134" s="93"/>
      <c r="AA1134" s="93"/>
    </row>
    <row r="1135">
      <c r="A1135" s="93"/>
      <c r="B1135" s="93"/>
      <c r="C1135" s="93"/>
      <c r="D1135" s="14"/>
      <c r="E1135" s="14"/>
      <c r="F1135" s="14"/>
      <c r="G1135" s="93"/>
      <c r="H1135" s="93"/>
      <c r="I1135" s="93"/>
      <c r="J1135" s="93"/>
      <c r="K1135" s="93"/>
      <c r="L1135" s="93"/>
      <c r="M1135" s="93"/>
      <c r="N1135" s="93"/>
      <c r="O1135" s="93"/>
      <c r="P1135" s="93"/>
      <c r="Q1135" s="93"/>
      <c r="R1135" s="93"/>
      <c r="S1135" s="93"/>
      <c r="T1135" s="93"/>
      <c r="U1135" s="93"/>
      <c r="V1135" s="93"/>
      <c r="W1135" s="93"/>
      <c r="X1135" s="93"/>
      <c r="Y1135" s="93"/>
      <c r="Z1135" s="93"/>
      <c r="AA1135" s="93"/>
    </row>
    <row r="1136">
      <c r="A1136" s="93"/>
      <c r="B1136" s="14" t="s">
        <v>928</v>
      </c>
      <c r="C1136" s="79" t="s">
        <v>1207</v>
      </c>
      <c r="D1136" s="14" t="s">
        <v>1208</v>
      </c>
      <c r="E1136" s="14" t="s">
        <v>426</v>
      </c>
      <c r="F1136" s="14">
        <v>14000.0</v>
      </c>
      <c r="G1136" s="14">
        <v>14000.0</v>
      </c>
      <c r="H1136" s="93"/>
      <c r="I1136" s="93"/>
      <c r="J1136" s="93"/>
      <c r="K1136" s="93"/>
      <c r="L1136" s="93"/>
      <c r="M1136" s="93"/>
      <c r="N1136" s="93"/>
      <c r="O1136" s="93"/>
      <c r="P1136" s="93"/>
      <c r="Q1136" s="93"/>
      <c r="R1136" s="93"/>
      <c r="S1136" s="93"/>
      <c r="T1136" s="93"/>
      <c r="U1136" s="93"/>
      <c r="V1136" s="93"/>
      <c r="W1136" s="93"/>
      <c r="X1136" s="93"/>
      <c r="Y1136" s="93"/>
      <c r="Z1136" s="93"/>
      <c r="AA1136" s="93"/>
    </row>
    <row r="1137">
      <c r="A1137" s="93"/>
      <c r="B1137" s="93"/>
      <c r="C1137" s="93"/>
      <c r="D1137" s="14" t="s">
        <v>1209</v>
      </c>
      <c r="E1137" s="14" t="s">
        <v>426</v>
      </c>
      <c r="F1137" s="14">
        <v>17000.0</v>
      </c>
      <c r="G1137" s="14">
        <v>17000.0</v>
      </c>
      <c r="H1137" s="93"/>
      <c r="I1137" s="93"/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T1137" s="93"/>
      <c r="U1137" s="93"/>
      <c r="V1137" s="93"/>
      <c r="W1137" s="93"/>
      <c r="X1137" s="93"/>
      <c r="Y1137" s="93"/>
      <c r="Z1137" s="93"/>
      <c r="AA1137" s="93"/>
    </row>
    <row r="1138">
      <c r="A1138" s="93"/>
      <c r="B1138" s="93"/>
      <c r="C1138" s="93"/>
      <c r="D1138" s="14" t="s">
        <v>60</v>
      </c>
      <c r="E1138" s="14" t="s">
        <v>426</v>
      </c>
      <c r="F1138" s="14">
        <v>10650.0</v>
      </c>
      <c r="G1138" s="14">
        <v>10650.0</v>
      </c>
      <c r="H1138" s="93"/>
      <c r="I1138" s="93"/>
      <c r="J1138" s="93"/>
      <c r="K1138" s="93"/>
      <c r="L1138" s="93"/>
      <c r="M1138" s="93"/>
      <c r="N1138" s="93"/>
      <c r="O1138" s="93"/>
      <c r="P1138" s="93"/>
      <c r="Q1138" s="93"/>
      <c r="R1138" s="93"/>
      <c r="S1138" s="93"/>
      <c r="T1138" s="93"/>
      <c r="U1138" s="93"/>
      <c r="V1138" s="93"/>
      <c r="W1138" s="93"/>
      <c r="X1138" s="93"/>
      <c r="Y1138" s="93"/>
      <c r="Z1138" s="93"/>
      <c r="AA1138" s="93"/>
    </row>
    <row r="1139">
      <c r="A1139" s="93"/>
      <c r="B1139" s="93"/>
      <c r="C1139" s="93"/>
      <c r="D1139" s="14"/>
      <c r="E1139" s="14"/>
      <c r="F1139" s="14"/>
      <c r="G1139" s="93"/>
      <c r="H1139" s="14">
        <f>641740-488000-400</f>
        <v>153340</v>
      </c>
      <c r="I1139" s="14" t="s">
        <v>965</v>
      </c>
      <c r="J1139" s="93"/>
      <c r="K1139" s="93"/>
      <c r="L1139" s="93"/>
      <c r="M1139" s="93"/>
      <c r="N1139" s="93"/>
      <c r="O1139" s="93"/>
      <c r="P1139" s="93"/>
      <c r="Q1139" s="93"/>
      <c r="R1139" s="93"/>
      <c r="S1139" s="93"/>
      <c r="T1139" s="93"/>
      <c r="U1139" s="93"/>
      <c r="V1139" s="93"/>
      <c r="W1139" s="93"/>
      <c r="X1139" s="93"/>
      <c r="Y1139" s="93"/>
      <c r="Z1139" s="93"/>
      <c r="AA1139" s="93"/>
    </row>
    <row r="1140">
      <c r="A1140" s="93"/>
      <c r="B1140" s="93"/>
      <c r="C1140" s="93"/>
      <c r="D1140" s="14"/>
      <c r="E1140" s="14"/>
      <c r="F1140" s="14"/>
      <c r="G1140" s="93"/>
      <c r="H1140" s="93"/>
      <c r="I1140" s="93"/>
      <c r="J1140" s="93"/>
      <c r="K1140" s="93"/>
      <c r="L1140" s="93"/>
      <c r="M1140" s="93"/>
      <c r="N1140" s="93"/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  <c r="AA1140" s="93"/>
    </row>
    <row r="1141">
      <c r="A1141" s="78">
        <v>45878.0</v>
      </c>
      <c r="B1141" s="13" t="s">
        <v>811</v>
      </c>
      <c r="C1141" s="79" t="s">
        <v>1210</v>
      </c>
      <c r="D1141" s="13" t="s">
        <v>640</v>
      </c>
      <c r="E1141" s="13" t="s">
        <v>426</v>
      </c>
      <c r="F1141" s="13">
        <v>5700.0</v>
      </c>
      <c r="G1141" s="13">
        <v>5700.0</v>
      </c>
    </row>
    <row r="1142">
      <c r="D1142" s="13" t="s">
        <v>767</v>
      </c>
      <c r="E1142" s="13" t="s">
        <v>426</v>
      </c>
      <c r="F1142" s="13">
        <v>7700.0</v>
      </c>
      <c r="G1142" s="13">
        <v>7700.0</v>
      </c>
    </row>
    <row r="1143">
      <c r="C1143" s="94"/>
      <c r="D1143" s="91"/>
      <c r="E1143" s="91"/>
      <c r="F1143" s="92"/>
    </row>
    <row r="1144">
      <c r="C1144" s="28"/>
      <c r="D1144" s="91"/>
      <c r="E1144" s="91"/>
      <c r="F1144" s="91"/>
    </row>
    <row r="1145">
      <c r="B1145" s="13" t="s">
        <v>811</v>
      </c>
      <c r="C1145" s="95" t="s">
        <v>1113</v>
      </c>
      <c r="D1145" s="21" t="s">
        <v>1211</v>
      </c>
      <c r="E1145" s="21">
        <v>1.0</v>
      </c>
      <c r="F1145" s="21"/>
      <c r="H1145" s="13" t="s">
        <v>1014</v>
      </c>
    </row>
    <row r="1146">
      <c r="C1146" s="28"/>
      <c r="D1146" s="21" t="s">
        <v>1212</v>
      </c>
      <c r="E1146" s="21" t="s">
        <v>426</v>
      </c>
      <c r="F1146" s="21">
        <v>29000.0</v>
      </c>
      <c r="G1146" s="13">
        <v>29000.0</v>
      </c>
    </row>
    <row r="1147">
      <c r="C1147" s="28"/>
      <c r="D1147" s="21" t="s">
        <v>1213</v>
      </c>
      <c r="E1147" s="21" t="s">
        <v>1214</v>
      </c>
      <c r="F1147" s="21">
        <v>18000.0</v>
      </c>
      <c r="G1147" s="13">
        <v>18000.0</v>
      </c>
    </row>
    <row r="1148">
      <c r="C1148" s="28"/>
      <c r="D1148" s="21" t="s">
        <v>1215</v>
      </c>
      <c r="E1148" s="21">
        <v>2.0</v>
      </c>
      <c r="F1148" s="21">
        <v>1800.0</v>
      </c>
      <c r="G1148" s="13">
        <v>3600.0</v>
      </c>
    </row>
    <row r="1149">
      <c r="D1149" s="13" t="s">
        <v>1216</v>
      </c>
      <c r="E1149" s="13">
        <v>2.0</v>
      </c>
      <c r="H1149" s="13" t="s">
        <v>1014</v>
      </c>
    </row>
    <row r="1150">
      <c r="D1150" s="13" t="s">
        <v>1217</v>
      </c>
      <c r="E1150" s="13">
        <v>2.0</v>
      </c>
      <c r="F1150" s="13">
        <v>1600.0</v>
      </c>
      <c r="G1150" s="13">
        <v>3200.0</v>
      </c>
    </row>
    <row r="1151">
      <c r="D1151" s="13" t="s">
        <v>1218</v>
      </c>
      <c r="E1151" s="13">
        <v>2.0</v>
      </c>
      <c r="F1151" s="13">
        <v>1800.0</v>
      </c>
      <c r="G1151" s="13">
        <v>3600.0</v>
      </c>
    </row>
    <row r="1152">
      <c r="D1152" s="13" t="s">
        <v>1219</v>
      </c>
      <c r="E1152" s="13">
        <v>2.0</v>
      </c>
      <c r="F1152" s="13">
        <v>1800.0</v>
      </c>
      <c r="G1152" s="13">
        <v>3600.0</v>
      </c>
    </row>
    <row r="1153">
      <c r="D1153" s="13" t="s">
        <v>1220</v>
      </c>
      <c r="E1153" s="13">
        <v>6.0</v>
      </c>
      <c r="F1153" s="13">
        <v>1300.0</v>
      </c>
      <c r="G1153" s="13">
        <v>7800.0</v>
      </c>
    </row>
    <row r="1154">
      <c r="D1154" s="13"/>
      <c r="E1154" s="13"/>
      <c r="F1154" s="13"/>
    </row>
    <row r="1155">
      <c r="C1155" s="79" t="s">
        <v>1221</v>
      </c>
      <c r="D1155" s="13" t="s">
        <v>571</v>
      </c>
      <c r="E1155" s="13" t="s">
        <v>426</v>
      </c>
      <c r="F1155" s="13">
        <v>2000.0</v>
      </c>
      <c r="G1155" s="13">
        <v>2000.0</v>
      </c>
    </row>
    <row r="1156">
      <c r="D1156" s="13" t="s">
        <v>446</v>
      </c>
      <c r="E1156" s="13" t="s">
        <v>426</v>
      </c>
      <c r="F1156" s="13">
        <v>3600.0</v>
      </c>
      <c r="G1156" s="13">
        <v>3600.0</v>
      </c>
    </row>
    <row r="1157">
      <c r="D1157" s="13"/>
      <c r="E1157" s="13"/>
      <c r="F1157" s="13"/>
    </row>
    <row r="1158">
      <c r="B1158" s="13" t="s">
        <v>521</v>
      </c>
      <c r="C1158" s="79" t="s">
        <v>1222</v>
      </c>
      <c r="D1158" s="13" t="s">
        <v>1223</v>
      </c>
      <c r="E1158" s="13" t="s">
        <v>426</v>
      </c>
      <c r="F1158" s="19">
        <v>1100.0</v>
      </c>
      <c r="G1158" s="13">
        <v>1100.0</v>
      </c>
    </row>
    <row r="1159">
      <c r="D1159" s="13" t="s">
        <v>1224</v>
      </c>
      <c r="E1159" s="13">
        <v>1.0</v>
      </c>
      <c r="F1159" s="19">
        <v>22000.0</v>
      </c>
      <c r="G1159" s="13">
        <v>22000.0</v>
      </c>
    </row>
    <row r="1160">
      <c r="D1160" s="13" t="s">
        <v>1225</v>
      </c>
      <c r="E1160" s="13" t="s">
        <v>426</v>
      </c>
      <c r="F1160" s="19">
        <v>4400.0</v>
      </c>
      <c r="G1160" s="13">
        <v>4400.0</v>
      </c>
    </row>
    <row r="1161">
      <c r="D1161" s="14" t="s">
        <v>702</v>
      </c>
      <c r="E1161" s="13">
        <v>1.0</v>
      </c>
      <c r="F1161" s="13">
        <v>1000.0</v>
      </c>
      <c r="G1161" s="13">
        <v>1000.0</v>
      </c>
    </row>
    <row r="1162">
      <c r="D1162" s="13" t="s">
        <v>1226</v>
      </c>
      <c r="E1162" s="13">
        <v>1.0</v>
      </c>
      <c r="F1162" s="13">
        <v>1000.0</v>
      </c>
      <c r="G1162" s="13">
        <v>1000.0</v>
      </c>
    </row>
    <row r="1163">
      <c r="D1163" s="13"/>
      <c r="E1163" s="13"/>
      <c r="F1163" s="13"/>
    </row>
    <row r="1164">
      <c r="D1164" s="13"/>
      <c r="E1164" s="13"/>
      <c r="F1164" s="13"/>
    </row>
    <row r="1165">
      <c r="B1165" s="13" t="s">
        <v>811</v>
      </c>
      <c r="C1165" s="79" t="s">
        <v>1227</v>
      </c>
      <c r="D1165" s="13" t="s">
        <v>583</v>
      </c>
      <c r="E1165" s="13" t="s">
        <v>426</v>
      </c>
      <c r="F1165" s="13">
        <v>5000.0</v>
      </c>
      <c r="G1165" s="13">
        <v>5000.0</v>
      </c>
    </row>
    <row r="1166">
      <c r="D1166" s="13" t="s">
        <v>606</v>
      </c>
      <c r="E1166" s="13" t="s">
        <v>426</v>
      </c>
      <c r="F1166" s="13">
        <v>5700.0</v>
      </c>
      <c r="G1166" s="13">
        <v>5700.0</v>
      </c>
    </row>
    <row r="1167">
      <c r="D1167" s="13" t="s">
        <v>1228</v>
      </c>
      <c r="E1167" s="13" t="s">
        <v>426</v>
      </c>
      <c r="F1167" s="13">
        <v>3000.0</v>
      </c>
      <c r="G1167" s="13">
        <v>3000.0</v>
      </c>
    </row>
    <row r="1168">
      <c r="D1168" s="13"/>
      <c r="E1168" s="13"/>
      <c r="F1168" s="13"/>
    </row>
    <row r="1169">
      <c r="B1169" s="13" t="s">
        <v>811</v>
      </c>
      <c r="C1169" s="79" t="s">
        <v>1229</v>
      </c>
      <c r="D1169" s="13" t="s">
        <v>822</v>
      </c>
      <c r="E1169" s="13" t="s">
        <v>426</v>
      </c>
      <c r="F1169" s="13">
        <v>15000.0</v>
      </c>
      <c r="G1169" s="13">
        <v>15000.0</v>
      </c>
    </row>
    <row r="1170">
      <c r="D1170" s="13" t="s">
        <v>1230</v>
      </c>
      <c r="E1170" s="13" t="s">
        <v>426</v>
      </c>
      <c r="F1170" s="13">
        <v>16000.0</v>
      </c>
      <c r="G1170" s="13">
        <v>16000.0</v>
      </c>
    </row>
    <row r="1171">
      <c r="D1171" s="13"/>
      <c r="E1171" s="13"/>
      <c r="F1171" s="13"/>
    </row>
    <row r="1172">
      <c r="B1172" s="13" t="s">
        <v>1081</v>
      </c>
      <c r="C1172" s="79" t="s">
        <v>497</v>
      </c>
      <c r="D1172" s="13" t="s">
        <v>822</v>
      </c>
      <c r="E1172" s="13" t="s">
        <v>434</v>
      </c>
      <c r="F1172" s="13">
        <v>15000.0</v>
      </c>
      <c r="G1172" s="32">
        <f>3*F1172</f>
        <v>45000</v>
      </c>
    </row>
    <row r="1173">
      <c r="D1173" s="13" t="s">
        <v>630</v>
      </c>
      <c r="E1173" s="13" t="s">
        <v>426</v>
      </c>
      <c r="F1173" s="13">
        <v>7000.0</v>
      </c>
      <c r="G1173" s="13">
        <v>7000.0</v>
      </c>
    </row>
    <row r="1174">
      <c r="D1174" s="13"/>
      <c r="E1174" s="13"/>
      <c r="F1174" s="13"/>
    </row>
    <row r="1175">
      <c r="D1175" s="13"/>
      <c r="E1175" s="13"/>
      <c r="F1175" s="13"/>
    </row>
    <row r="1176">
      <c r="B1176" s="13" t="s">
        <v>811</v>
      </c>
      <c r="C1176" s="79" t="s">
        <v>1231</v>
      </c>
      <c r="D1176" s="13" t="s">
        <v>1232</v>
      </c>
      <c r="E1176" s="13">
        <v>1.0</v>
      </c>
      <c r="F1176" s="13">
        <v>9500.0</v>
      </c>
      <c r="G1176" s="13">
        <v>9500.0</v>
      </c>
    </row>
    <row r="1177">
      <c r="D1177" s="13" t="s">
        <v>1233</v>
      </c>
      <c r="E1177" s="13">
        <v>1.0</v>
      </c>
      <c r="F1177" s="13">
        <v>5200.0</v>
      </c>
      <c r="G1177" s="13">
        <v>5200.0</v>
      </c>
    </row>
    <row r="1178">
      <c r="D1178" s="13" t="s">
        <v>908</v>
      </c>
      <c r="E1178" s="13" t="s">
        <v>426</v>
      </c>
      <c r="F1178" s="13">
        <v>7000.0</v>
      </c>
      <c r="G1178" s="13">
        <v>7000.0</v>
      </c>
    </row>
    <row r="1179">
      <c r="D1179" s="13" t="s">
        <v>983</v>
      </c>
      <c r="E1179" s="13" t="s">
        <v>426</v>
      </c>
      <c r="F1179" s="13">
        <v>14000.0</v>
      </c>
      <c r="G1179" s="13">
        <v>14000.0</v>
      </c>
    </row>
    <row r="1180">
      <c r="D1180" s="13"/>
      <c r="E1180" s="13"/>
      <c r="F1180" s="13"/>
    </row>
    <row r="1181">
      <c r="B1181" s="13" t="s">
        <v>811</v>
      </c>
      <c r="C1181" s="79" t="s">
        <v>1234</v>
      </c>
      <c r="D1181" s="13" t="s">
        <v>895</v>
      </c>
      <c r="E1181" s="13">
        <v>1.0</v>
      </c>
      <c r="F1181" s="13">
        <v>2500.0</v>
      </c>
      <c r="G1181" s="13">
        <v>2500.0</v>
      </c>
    </row>
    <row r="1182">
      <c r="D1182" s="13" t="s">
        <v>1150</v>
      </c>
      <c r="E1182" s="13" t="s">
        <v>426</v>
      </c>
      <c r="F1182" s="19">
        <v>20000.0</v>
      </c>
      <c r="G1182" s="13">
        <v>20000.0</v>
      </c>
    </row>
    <row r="1183">
      <c r="D1183" s="13"/>
      <c r="E1183" s="13"/>
      <c r="F1183" s="13"/>
    </row>
    <row r="1184">
      <c r="B1184" s="13" t="s">
        <v>811</v>
      </c>
      <c r="C1184" s="79" t="s">
        <v>1235</v>
      </c>
      <c r="D1184" s="13" t="s">
        <v>1192</v>
      </c>
      <c r="E1184" s="13" t="s">
        <v>426</v>
      </c>
      <c r="F1184" s="13">
        <v>7000.0</v>
      </c>
      <c r="G1184" s="13">
        <v>7000.0</v>
      </c>
    </row>
    <row r="1185">
      <c r="D1185" s="13" t="s">
        <v>1236</v>
      </c>
      <c r="E1185" s="13" t="s">
        <v>426</v>
      </c>
      <c r="F1185" s="13">
        <v>20000.0</v>
      </c>
      <c r="G1185" s="13">
        <v>20000.0</v>
      </c>
    </row>
    <row r="1186">
      <c r="D1186" s="13" t="s">
        <v>1237</v>
      </c>
      <c r="E1186" s="13">
        <v>1.0</v>
      </c>
      <c r="F1186" s="13">
        <v>6000.0</v>
      </c>
      <c r="G1186" s="13">
        <v>6000.0</v>
      </c>
    </row>
    <row r="1187">
      <c r="D1187" s="13" t="s">
        <v>1238</v>
      </c>
      <c r="E1187" s="13" t="s">
        <v>426</v>
      </c>
      <c r="F1187" s="13">
        <v>2000.0</v>
      </c>
      <c r="G1187" s="13">
        <v>2000.0</v>
      </c>
    </row>
    <row r="1188">
      <c r="D1188" s="13"/>
      <c r="E1188" s="13"/>
      <c r="F1188" s="13"/>
    </row>
    <row r="1189">
      <c r="B1189" s="13" t="s">
        <v>811</v>
      </c>
      <c r="C1189" s="79" t="s">
        <v>1239</v>
      </c>
      <c r="D1189" s="13" t="s">
        <v>873</v>
      </c>
      <c r="E1189" s="13" t="s">
        <v>727</v>
      </c>
      <c r="F1189" s="13">
        <v>5500.0</v>
      </c>
      <c r="G1189" s="13">
        <v>5500.0</v>
      </c>
    </row>
    <row r="1190">
      <c r="D1190" s="13"/>
      <c r="E1190" s="13"/>
      <c r="F1190" s="13"/>
    </row>
    <row r="1191">
      <c r="B1191" s="13" t="s">
        <v>811</v>
      </c>
      <c r="C1191" s="79" t="s">
        <v>1240</v>
      </c>
      <c r="D1191" s="13" t="s">
        <v>1011</v>
      </c>
      <c r="E1191" s="13" t="s">
        <v>727</v>
      </c>
      <c r="F1191" s="13">
        <v>4000.0</v>
      </c>
      <c r="G1191" s="13">
        <v>4000.0</v>
      </c>
    </row>
    <row r="1192">
      <c r="D1192" s="13" t="s">
        <v>873</v>
      </c>
      <c r="E1192" s="13" t="s">
        <v>727</v>
      </c>
      <c r="F1192" s="13">
        <v>5500.0</v>
      </c>
      <c r="G1192" s="13">
        <v>5500.0</v>
      </c>
    </row>
    <row r="1193">
      <c r="D1193" s="13"/>
      <c r="E1193" s="13"/>
      <c r="F1193" s="13"/>
    </row>
    <row r="1194">
      <c r="B1194" s="13" t="s">
        <v>1241</v>
      </c>
      <c r="C1194" s="79" t="s">
        <v>1242</v>
      </c>
      <c r="D1194" s="13" t="s">
        <v>1011</v>
      </c>
      <c r="E1194" s="13" t="s">
        <v>426</v>
      </c>
      <c r="F1194" s="13">
        <v>7000.0</v>
      </c>
      <c r="G1194" s="13">
        <v>7000.0</v>
      </c>
    </row>
    <row r="1195">
      <c r="D1195" s="13"/>
      <c r="E1195" s="13"/>
      <c r="F1195" s="13"/>
    </row>
    <row r="1196">
      <c r="B1196" s="13" t="s">
        <v>743</v>
      </c>
      <c r="C1196" s="79" t="s">
        <v>714</v>
      </c>
      <c r="D1196" s="13" t="s">
        <v>1243</v>
      </c>
      <c r="E1196" s="13">
        <v>1.0</v>
      </c>
      <c r="F1196" s="13">
        <v>1430.0</v>
      </c>
      <c r="G1196" s="13">
        <v>1430.0</v>
      </c>
    </row>
    <row r="1197">
      <c r="D1197" s="13" t="s">
        <v>1244</v>
      </c>
      <c r="E1197" s="13">
        <v>2.0</v>
      </c>
      <c r="F1197" s="13">
        <v>1430.0</v>
      </c>
      <c r="G1197" s="32">
        <f>E1197*F1197</f>
        <v>2860</v>
      </c>
    </row>
    <row r="1198">
      <c r="D1198" s="13" t="s">
        <v>1245</v>
      </c>
      <c r="E1198" s="13" t="s">
        <v>426</v>
      </c>
      <c r="F1198" s="13">
        <v>3600.0</v>
      </c>
      <c r="G1198" s="13">
        <v>3600.0</v>
      </c>
    </row>
    <row r="1199">
      <c r="D1199" s="13" t="s">
        <v>777</v>
      </c>
      <c r="E1199" s="13" t="s">
        <v>727</v>
      </c>
      <c r="F1199" s="13">
        <v>1400.0</v>
      </c>
      <c r="G1199" s="13">
        <v>1400.0</v>
      </c>
    </row>
    <row r="1200">
      <c r="D1200" s="13" t="s">
        <v>1246</v>
      </c>
      <c r="E1200" s="13">
        <v>1.0</v>
      </c>
      <c r="F1200" s="13">
        <v>650.0</v>
      </c>
      <c r="G1200" s="13">
        <v>650.0</v>
      </c>
    </row>
    <row r="1201">
      <c r="D1201" s="13" t="s">
        <v>1192</v>
      </c>
      <c r="E1201" s="13"/>
      <c r="F1201" s="13">
        <v>4600.0</v>
      </c>
      <c r="G1201" s="13">
        <v>4600.0</v>
      </c>
    </row>
    <row r="1202">
      <c r="D1202" s="13" t="s">
        <v>1247</v>
      </c>
      <c r="E1202" s="13">
        <v>1.0</v>
      </c>
      <c r="F1202" s="13">
        <v>5500.0</v>
      </c>
      <c r="G1202" s="13">
        <v>5500.0</v>
      </c>
    </row>
    <row r="1203">
      <c r="D1203" s="13"/>
      <c r="E1203" s="13"/>
      <c r="F1203" s="13"/>
    </row>
    <row r="1204">
      <c r="C1204" s="79" t="s">
        <v>1248</v>
      </c>
      <c r="D1204" s="13" t="s">
        <v>449</v>
      </c>
      <c r="E1204" s="13" t="s">
        <v>539</v>
      </c>
      <c r="H1204" s="13" t="s">
        <v>1014</v>
      </c>
    </row>
    <row r="1205">
      <c r="D1205" s="13"/>
      <c r="E1205" s="13"/>
      <c r="F1205" s="13"/>
    </row>
    <row r="1206">
      <c r="C1206" s="79" t="s">
        <v>542</v>
      </c>
      <c r="D1206" s="13" t="s">
        <v>551</v>
      </c>
      <c r="E1206" s="13" t="s">
        <v>426</v>
      </c>
      <c r="F1206" s="13">
        <v>15800.0</v>
      </c>
      <c r="G1206" s="13">
        <v>15800.0</v>
      </c>
    </row>
    <row r="1207">
      <c r="D1207" s="13" t="s">
        <v>1249</v>
      </c>
      <c r="E1207" s="13">
        <v>1.0</v>
      </c>
      <c r="F1207" s="13">
        <v>5500.0</v>
      </c>
      <c r="G1207" s="13">
        <v>5500.0</v>
      </c>
    </row>
    <row r="1208">
      <c r="D1208" s="13" t="s">
        <v>1250</v>
      </c>
      <c r="E1208" s="13">
        <v>1.0</v>
      </c>
      <c r="F1208" s="13">
        <v>11700.0</v>
      </c>
      <c r="G1208" s="13">
        <v>11700.0</v>
      </c>
    </row>
    <row r="1209">
      <c r="D1209" s="13" t="s">
        <v>1251</v>
      </c>
      <c r="E1209" s="13" t="s">
        <v>426</v>
      </c>
      <c r="F1209" s="13">
        <v>33000.0</v>
      </c>
      <c r="G1209" s="13">
        <v>33000.0</v>
      </c>
    </row>
    <row r="1210">
      <c r="D1210" s="13" t="s">
        <v>1252</v>
      </c>
      <c r="E1210" s="13">
        <v>1.0</v>
      </c>
      <c r="F1210" s="13"/>
    </row>
    <row r="1211">
      <c r="D1211" s="13"/>
      <c r="E1211" s="13"/>
      <c r="F1211" s="13"/>
    </row>
    <row r="1212">
      <c r="B1212" s="13" t="s">
        <v>981</v>
      </c>
      <c r="C1212" s="79" t="s">
        <v>1253</v>
      </c>
      <c r="D1212" s="13" t="s">
        <v>551</v>
      </c>
      <c r="E1212" s="13" t="s">
        <v>426</v>
      </c>
      <c r="F1212" s="13">
        <v>20000.0</v>
      </c>
      <c r="G1212" s="13">
        <v>20000.0</v>
      </c>
    </row>
    <row r="1213">
      <c r="D1213" s="13" t="s">
        <v>955</v>
      </c>
      <c r="E1213" s="13" t="s">
        <v>426</v>
      </c>
      <c r="F1213" s="13"/>
      <c r="G1213" s="13">
        <v>6500.0</v>
      </c>
    </row>
    <row r="1214">
      <c r="D1214" s="13" t="s">
        <v>1254</v>
      </c>
      <c r="E1214" s="13">
        <v>1.0</v>
      </c>
      <c r="H1214" s="13" t="s">
        <v>1014</v>
      </c>
    </row>
    <row r="1215">
      <c r="C1215" s="14"/>
      <c r="D1215" s="13"/>
      <c r="E1215" s="13"/>
      <c r="F1215" s="13"/>
    </row>
    <row r="1216">
      <c r="B1216" s="13" t="s">
        <v>808</v>
      </c>
      <c r="C1216" s="79" t="s">
        <v>1255</v>
      </c>
      <c r="D1216" s="13" t="s">
        <v>865</v>
      </c>
      <c r="E1216" s="13" t="s">
        <v>426</v>
      </c>
      <c r="F1216" s="13">
        <v>20000.0</v>
      </c>
      <c r="G1216" s="13">
        <v>20000.0</v>
      </c>
    </row>
    <row r="1217">
      <c r="D1217" s="13" t="s">
        <v>1256</v>
      </c>
      <c r="E1217" s="13" t="s">
        <v>426</v>
      </c>
      <c r="F1217" s="13">
        <v>16000.0</v>
      </c>
      <c r="G1217" s="13">
        <v>16000.0</v>
      </c>
    </row>
    <row r="1218">
      <c r="D1218" s="13"/>
      <c r="E1218" s="13"/>
      <c r="F1218" s="13"/>
    </row>
    <row r="1219">
      <c r="D1219" s="13"/>
      <c r="E1219" s="13"/>
      <c r="F1219" s="13"/>
    </row>
    <row r="1220">
      <c r="B1220" s="13" t="s">
        <v>521</v>
      </c>
      <c r="C1220" s="79" t="s">
        <v>1257</v>
      </c>
      <c r="D1220" s="13" t="s">
        <v>1150</v>
      </c>
      <c r="E1220" s="13" t="s">
        <v>426</v>
      </c>
      <c r="F1220" s="13">
        <v>20000.0</v>
      </c>
      <c r="G1220" s="13">
        <v>20000.0</v>
      </c>
    </row>
    <row r="1221">
      <c r="D1221" s="13" t="s">
        <v>1192</v>
      </c>
      <c r="E1221" s="13" t="s">
        <v>814</v>
      </c>
      <c r="F1221" s="13">
        <v>2000.0</v>
      </c>
      <c r="G1221" s="13">
        <v>2000.0</v>
      </c>
    </row>
    <row r="1222">
      <c r="D1222" s="13" t="s">
        <v>1258</v>
      </c>
      <c r="E1222" s="13" t="s">
        <v>426</v>
      </c>
      <c r="F1222" s="13">
        <v>7700.0</v>
      </c>
      <c r="G1222" s="13">
        <v>7700.0</v>
      </c>
    </row>
    <row r="1223">
      <c r="D1223" s="13"/>
      <c r="E1223" s="13"/>
      <c r="F1223" s="13"/>
    </row>
    <row r="1224">
      <c r="C1224" s="79" t="s">
        <v>1259</v>
      </c>
      <c r="D1224" s="13" t="s">
        <v>1260</v>
      </c>
      <c r="E1224" s="13">
        <v>3.0</v>
      </c>
      <c r="F1224" s="13">
        <v>2500.0</v>
      </c>
      <c r="G1224" s="32">
        <f>E1224*F1224</f>
        <v>7500</v>
      </c>
    </row>
    <row r="1225">
      <c r="D1225" s="13"/>
      <c r="E1225" s="13"/>
      <c r="F1225" s="13"/>
    </row>
    <row r="1226">
      <c r="D1226" s="13"/>
      <c r="E1226" s="13"/>
      <c r="F1226" s="13"/>
    </row>
    <row r="1227">
      <c r="B1227" s="13" t="s">
        <v>811</v>
      </c>
      <c r="C1227" s="79" t="s">
        <v>825</v>
      </c>
      <c r="D1227" s="13" t="s">
        <v>558</v>
      </c>
      <c r="E1227" s="13" t="s">
        <v>426</v>
      </c>
      <c r="F1227" s="13">
        <v>4400.0</v>
      </c>
      <c r="G1227" s="13">
        <v>4400.0</v>
      </c>
    </row>
    <row r="1228">
      <c r="D1228" s="13" t="s">
        <v>635</v>
      </c>
      <c r="E1228" s="13" t="s">
        <v>426</v>
      </c>
      <c r="F1228" s="13">
        <v>7000.0</v>
      </c>
      <c r="G1228" s="13">
        <v>7000.0</v>
      </c>
    </row>
    <row r="1229">
      <c r="D1229" s="13" t="s">
        <v>1261</v>
      </c>
      <c r="E1229" s="13" t="s">
        <v>426</v>
      </c>
      <c r="F1229" s="13">
        <v>1500.0</v>
      </c>
      <c r="G1229" s="13">
        <v>1500.0</v>
      </c>
    </row>
    <row r="1230">
      <c r="A1230" s="93"/>
      <c r="B1230" s="93"/>
      <c r="C1230" s="14"/>
      <c r="D1230" s="14"/>
      <c r="E1230" s="14"/>
      <c r="F1230" s="14"/>
      <c r="G1230" s="93"/>
      <c r="H1230" s="93"/>
      <c r="I1230" s="93"/>
      <c r="J1230" s="93"/>
      <c r="K1230" s="93"/>
      <c r="L1230" s="93"/>
      <c r="M1230" s="93"/>
      <c r="N1230" s="93"/>
      <c r="O1230" s="93"/>
      <c r="P1230" s="93"/>
      <c r="Q1230" s="93"/>
      <c r="R1230" s="93"/>
      <c r="S1230" s="93"/>
      <c r="T1230" s="93"/>
      <c r="U1230" s="93"/>
      <c r="V1230" s="93"/>
      <c r="W1230" s="93"/>
      <c r="X1230" s="93"/>
      <c r="Y1230" s="93"/>
      <c r="Z1230" s="93"/>
      <c r="AA1230" s="93"/>
    </row>
    <row r="1231">
      <c r="B1231" s="13" t="s">
        <v>1241</v>
      </c>
      <c r="C1231" s="79" t="s">
        <v>1262</v>
      </c>
      <c r="D1231" s="13" t="s">
        <v>1263</v>
      </c>
      <c r="E1231" s="13" t="s">
        <v>727</v>
      </c>
      <c r="F1231" s="13"/>
      <c r="G1231" s="13">
        <v>4000.0</v>
      </c>
    </row>
    <row r="1232">
      <c r="D1232" s="13"/>
      <c r="E1232" s="13"/>
      <c r="F1232" s="13"/>
    </row>
    <row r="1233">
      <c r="D1233" s="13"/>
      <c r="E1233" s="13"/>
      <c r="F1233" s="13"/>
      <c r="H1233" s="13" t="s">
        <v>1264</v>
      </c>
    </row>
    <row r="1234">
      <c r="A1234" s="89"/>
      <c r="B1234" s="93"/>
      <c r="C1234" s="14"/>
      <c r="D1234" s="14"/>
      <c r="E1234" s="14"/>
      <c r="F1234" s="14"/>
      <c r="G1234" s="14"/>
      <c r="H1234" s="93"/>
      <c r="I1234" s="93"/>
      <c r="J1234" s="93"/>
      <c r="K1234" s="93"/>
      <c r="L1234" s="93"/>
      <c r="M1234" s="93"/>
      <c r="N1234" s="93"/>
      <c r="O1234" s="93"/>
      <c r="P1234" s="93"/>
      <c r="Q1234" s="93"/>
      <c r="R1234" s="93"/>
      <c r="S1234" s="93"/>
      <c r="T1234" s="93"/>
      <c r="U1234" s="93"/>
      <c r="V1234" s="93"/>
      <c r="W1234" s="93"/>
      <c r="X1234" s="93"/>
      <c r="Y1234" s="93"/>
      <c r="Z1234" s="93"/>
      <c r="AA1234" s="93"/>
    </row>
    <row r="1235">
      <c r="A1235" s="78">
        <v>45886.0</v>
      </c>
      <c r="B1235" s="13" t="s">
        <v>928</v>
      </c>
      <c r="C1235" s="79" t="s">
        <v>730</v>
      </c>
      <c r="D1235" s="13" t="s">
        <v>780</v>
      </c>
      <c r="E1235" s="13" t="s">
        <v>426</v>
      </c>
      <c r="F1235" s="13">
        <v>12000.0</v>
      </c>
      <c r="G1235" s="13">
        <v>12000.0</v>
      </c>
    </row>
    <row r="1236">
      <c r="D1236" s="13" t="s">
        <v>640</v>
      </c>
      <c r="E1236" s="13" t="s">
        <v>426</v>
      </c>
      <c r="F1236" s="13">
        <v>5700.0</v>
      </c>
      <c r="G1236" s="13">
        <v>5700.0</v>
      </c>
    </row>
    <row r="1237">
      <c r="D1237" s="96" t="s">
        <v>704</v>
      </c>
      <c r="E1237" s="13">
        <v>1.0</v>
      </c>
      <c r="F1237" s="13">
        <v>3500.0</v>
      </c>
      <c r="G1237" s="13">
        <v>3500.0</v>
      </c>
    </row>
    <row r="1238">
      <c r="D1238" s="13" t="s">
        <v>1011</v>
      </c>
      <c r="E1238" s="13" t="s">
        <v>727</v>
      </c>
      <c r="F1238" s="13">
        <v>4000.0</v>
      </c>
      <c r="G1238" s="13">
        <v>4000.0</v>
      </c>
    </row>
    <row r="1239">
      <c r="D1239" s="13"/>
      <c r="E1239" s="13"/>
      <c r="F1239" s="13"/>
    </row>
    <row r="1240">
      <c r="D1240" s="13"/>
      <c r="E1240" s="13"/>
      <c r="F1240" s="13"/>
    </row>
    <row r="1241">
      <c r="C1241" s="14"/>
    </row>
    <row r="1242">
      <c r="D1242" s="13"/>
      <c r="E1242" s="13"/>
      <c r="F1242" s="13"/>
    </row>
    <row r="1243">
      <c r="B1243" s="13" t="s">
        <v>1265</v>
      </c>
      <c r="C1243" s="79" t="s">
        <v>1266</v>
      </c>
      <c r="D1243" s="13" t="s">
        <v>449</v>
      </c>
      <c r="E1243" s="13" t="s">
        <v>426</v>
      </c>
      <c r="F1243" s="13"/>
      <c r="G1243" s="13">
        <v>25100.0</v>
      </c>
    </row>
    <row r="1244">
      <c r="D1244" s="13"/>
      <c r="E1244" s="13"/>
      <c r="F1244" s="13"/>
    </row>
    <row r="1245">
      <c r="A1245" s="13" t="s">
        <v>965</v>
      </c>
      <c r="B1245" s="13" t="s">
        <v>1267</v>
      </c>
      <c r="C1245" s="79" t="s">
        <v>1268</v>
      </c>
      <c r="D1245" s="13" t="s">
        <v>1269</v>
      </c>
      <c r="E1245" s="13" t="s">
        <v>426</v>
      </c>
      <c r="F1245" s="13">
        <v>4100.0</v>
      </c>
      <c r="G1245" s="13">
        <v>4100.0</v>
      </c>
    </row>
    <row r="1246">
      <c r="D1246" s="13" t="s">
        <v>1270</v>
      </c>
      <c r="E1246" s="13" t="s">
        <v>426</v>
      </c>
      <c r="F1246" s="19">
        <v>16000.0</v>
      </c>
      <c r="G1246" s="19">
        <v>16000.0</v>
      </c>
    </row>
    <row r="1247">
      <c r="D1247" s="13"/>
      <c r="E1247" s="13"/>
      <c r="F1247" s="13"/>
    </row>
    <row r="1248">
      <c r="B1248" s="13" t="s">
        <v>928</v>
      </c>
      <c r="C1248" s="79" t="s">
        <v>866</v>
      </c>
      <c r="D1248" s="13" t="s">
        <v>438</v>
      </c>
      <c r="E1248" s="13" t="s">
        <v>426</v>
      </c>
      <c r="F1248" s="13">
        <v>5800.0</v>
      </c>
      <c r="G1248" s="13">
        <v>5800.0</v>
      </c>
    </row>
    <row r="1249">
      <c r="D1249" s="13" t="s">
        <v>1271</v>
      </c>
      <c r="E1249" s="13" t="s">
        <v>434</v>
      </c>
      <c r="F1249" s="13">
        <v>4400.0</v>
      </c>
      <c r="G1249" s="13">
        <v>13200.0</v>
      </c>
    </row>
    <row r="1250">
      <c r="D1250" s="13" t="s">
        <v>900</v>
      </c>
      <c r="E1250" s="13">
        <v>1.0</v>
      </c>
      <c r="F1250" s="13">
        <v>2500.0</v>
      </c>
      <c r="G1250" s="13">
        <v>2500.0</v>
      </c>
    </row>
    <row r="1251">
      <c r="D1251" s="13" t="s">
        <v>1272</v>
      </c>
      <c r="E1251" s="13">
        <v>1.0</v>
      </c>
      <c r="F1251" s="13">
        <v>3600.0</v>
      </c>
      <c r="G1251" s="13">
        <v>3600.0</v>
      </c>
    </row>
    <row r="1252">
      <c r="D1252" s="13"/>
      <c r="E1252" s="13"/>
      <c r="F1252" s="13"/>
    </row>
    <row r="1253">
      <c r="B1253" s="13" t="s">
        <v>928</v>
      </c>
      <c r="C1253" s="79" t="s">
        <v>1273</v>
      </c>
      <c r="D1253" s="13" t="s">
        <v>1202</v>
      </c>
      <c r="E1253" s="13" t="s">
        <v>426</v>
      </c>
      <c r="F1253" s="13">
        <v>2300.0</v>
      </c>
      <c r="G1253" s="13">
        <v>2300.0</v>
      </c>
    </row>
    <row r="1254">
      <c r="D1254" s="13" t="s">
        <v>1274</v>
      </c>
      <c r="E1254" s="13">
        <v>1.0</v>
      </c>
      <c r="F1254" s="13">
        <v>2500.0</v>
      </c>
      <c r="G1254" s="13">
        <v>2500.0</v>
      </c>
    </row>
    <row r="1255">
      <c r="D1255" s="13" t="s">
        <v>908</v>
      </c>
      <c r="E1255" s="13" t="s">
        <v>814</v>
      </c>
      <c r="F1255" s="13">
        <v>2500.0</v>
      </c>
      <c r="G1255" s="13">
        <v>2500.0</v>
      </c>
    </row>
    <row r="1256">
      <c r="D1256" s="13" t="s">
        <v>1275</v>
      </c>
      <c r="E1256" s="13" t="s">
        <v>426</v>
      </c>
      <c r="F1256" s="13">
        <v>16000.0</v>
      </c>
      <c r="G1256" s="13">
        <v>16000.0</v>
      </c>
    </row>
    <row r="1257">
      <c r="D1257" s="13"/>
      <c r="E1257" s="13"/>
      <c r="F1257" s="13"/>
    </row>
    <row r="1258">
      <c r="B1258" s="13" t="s">
        <v>1276</v>
      </c>
      <c r="C1258" s="79" t="s">
        <v>1277</v>
      </c>
      <c r="D1258" s="13" t="s">
        <v>1278</v>
      </c>
      <c r="E1258" s="13">
        <v>1.0</v>
      </c>
      <c r="F1258" s="13">
        <v>4200.0</v>
      </c>
      <c r="G1258" s="13">
        <v>4200.0</v>
      </c>
    </row>
    <row r="1259">
      <c r="D1259" s="13" t="s">
        <v>662</v>
      </c>
      <c r="E1259" s="13">
        <v>1.0</v>
      </c>
      <c r="F1259" s="13">
        <v>1000.0</v>
      </c>
      <c r="G1259" s="13">
        <v>1000.0</v>
      </c>
    </row>
    <row r="1260">
      <c r="D1260" s="13"/>
      <c r="E1260" s="13"/>
      <c r="F1260" s="13"/>
    </row>
    <row r="1261">
      <c r="B1261" s="13" t="s">
        <v>757</v>
      </c>
      <c r="C1261" s="79" t="s">
        <v>1239</v>
      </c>
      <c r="D1261" s="13" t="s">
        <v>1270</v>
      </c>
      <c r="E1261" s="13" t="s">
        <v>426</v>
      </c>
      <c r="F1261" s="19">
        <v>16000.0</v>
      </c>
      <c r="G1261" s="19">
        <v>16000.0</v>
      </c>
    </row>
    <row r="1262">
      <c r="D1262" s="13"/>
      <c r="E1262" s="13"/>
      <c r="F1262" s="13"/>
    </row>
    <row r="1263">
      <c r="C1263" s="79" t="s">
        <v>741</v>
      </c>
      <c r="D1263" s="13" t="s">
        <v>558</v>
      </c>
      <c r="E1263" s="13" t="s">
        <v>445</v>
      </c>
      <c r="F1263" s="13">
        <v>4400.0</v>
      </c>
      <c r="G1263" s="32">
        <f>4*F1263</f>
        <v>17600</v>
      </c>
    </row>
    <row r="1264">
      <c r="D1264" s="13" t="s">
        <v>607</v>
      </c>
      <c r="E1264" s="13" t="s">
        <v>426</v>
      </c>
      <c r="F1264" s="13">
        <v>7400.0</v>
      </c>
      <c r="G1264" s="13">
        <v>7400.0</v>
      </c>
    </row>
    <row r="1265">
      <c r="D1265" s="13"/>
      <c r="E1265" s="13"/>
      <c r="F1265" s="13"/>
    </row>
    <row r="1266">
      <c r="C1266" s="79" t="s">
        <v>1279</v>
      </c>
      <c r="D1266" s="13" t="s">
        <v>822</v>
      </c>
      <c r="E1266" s="13" t="s">
        <v>426</v>
      </c>
      <c r="F1266" s="13"/>
      <c r="G1266" s="13">
        <v>15000.0</v>
      </c>
    </row>
    <row r="1267">
      <c r="D1267" s="13" t="s">
        <v>558</v>
      </c>
      <c r="E1267" s="13" t="s">
        <v>426</v>
      </c>
      <c r="F1267" s="13"/>
      <c r="G1267" s="13">
        <v>4400.0</v>
      </c>
    </row>
    <row r="1268">
      <c r="D1268" s="13" t="s">
        <v>1101</v>
      </c>
      <c r="E1268" s="13" t="s">
        <v>426</v>
      </c>
      <c r="F1268" s="13"/>
      <c r="G1268" s="13">
        <v>16000.0</v>
      </c>
    </row>
    <row r="1269">
      <c r="D1269" s="13"/>
      <c r="E1269" s="13"/>
      <c r="F1269" s="13"/>
    </row>
    <row r="1270">
      <c r="B1270" s="13" t="s">
        <v>967</v>
      </c>
      <c r="C1270" s="79" t="s">
        <v>1280</v>
      </c>
      <c r="D1270" s="13" t="s">
        <v>1281</v>
      </c>
      <c r="E1270" s="13" t="s">
        <v>539</v>
      </c>
      <c r="F1270" s="13">
        <v>7000.0</v>
      </c>
      <c r="G1270" s="13">
        <v>7000.0</v>
      </c>
    </row>
    <row r="1271">
      <c r="D1271" s="13"/>
      <c r="E1271" s="13"/>
      <c r="F1271" s="13"/>
    </row>
    <row r="1272">
      <c r="C1272" s="79" t="s">
        <v>1282</v>
      </c>
      <c r="D1272" s="13" t="s">
        <v>552</v>
      </c>
      <c r="E1272" s="13" t="s">
        <v>426</v>
      </c>
      <c r="F1272" s="13">
        <v>9000.0</v>
      </c>
      <c r="G1272" s="13">
        <v>9000.0</v>
      </c>
    </row>
    <row r="1273">
      <c r="D1273" s="13"/>
      <c r="E1273" s="13"/>
      <c r="F1273" s="13"/>
    </row>
    <row r="1274">
      <c r="B1274" s="13" t="s">
        <v>967</v>
      </c>
      <c r="C1274" s="79" t="s">
        <v>1283</v>
      </c>
      <c r="D1274" s="13" t="s">
        <v>533</v>
      </c>
      <c r="E1274" s="13" t="s">
        <v>426</v>
      </c>
      <c r="F1274" s="13">
        <v>3000.0</v>
      </c>
      <c r="G1274" s="13">
        <v>3000.0</v>
      </c>
    </row>
    <row r="1275">
      <c r="D1275" s="13" t="s">
        <v>1192</v>
      </c>
      <c r="E1275" s="13" t="s">
        <v>426</v>
      </c>
      <c r="F1275" s="13">
        <v>7500.0</v>
      </c>
      <c r="G1275" s="13">
        <v>7500.0</v>
      </c>
    </row>
    <row r="1276">
      <c r="D1276" s="13" t="s">
        <v>1284</v>
      </c>
      <c r="E1276" s="13" t="s">
        <v>426</v>
      </c>
      <c r="F1276" s="13">
        <v>20000.0</v>
      </c>
      <c r="G1276" s="13">
        <v>20000.0</v>
      </c>
    </row>
    <row r="1277">
      <c r="D1277" s="13" t="s">
        <v>1285</v>
      </c>
      <c r="E1277" s="13" t="s">
        <v>426</v>
      </c>
      <c r="F1277" s="13">
        <v>12000.0</v>
      </c>
      <c r="G1277" s="13">
        <v>12000.0</v>
      </c>
    </row>
    <row r="1278">
      <c r="D1278" s="13" t="s">
        <v>1286</v>
      </c>
      <c r="E1278" s="13" t="s">
        <v>426</v>
      </c>
      <c r="F1278" s="13">
        <v>24000.0</v>
      </c>
      <c r="G1278" s="13">
        <v>24000.0</v>
      </c>
    </row>
    <row r="1279">
      <c r="D1279" s="13"/>
      <c r="E1279" s="13"/>
      <c r="F1279" s="13"/>
    </row>
    <row r="1280">
      <c r="B1280" s="13" t="s">
        <v>757</v>
      </c>
      <c r="C1280" s="97" t="s">
        <v>1287</v>
      </c>
      <c r="D1280" s="13" t="s">
        <v>533</v>
      </c>
      <c r="E1280" s="13" t="s">
        <v>429</v>
      </c>
      <c r="F1280" s="13">
        <v>3000.0</v>
      </c>
      <c r="G1280" s="13">
        <v>6000.0</v>
      </c>
    </row>
    <row r="1281">
      <c r="D1281" s="13" t="s">
        <v>1288</v>
      </c>
      <c r="E1281" s="13">
        <v>1.0</v>
      </c>
      <c r="F1281" s="13">
        <v>4000.0</v>
      </c>
      <c r="G1281" s="13">
        <v>4000.0</v>
      </c>
    </row>
    <row r="1282">
      <c r="D1282" s="13"/>
      <c r="E1282" s="13"/>
      <c r="F1282" s="13"/>
    </row>
    <row r="1283">
      <c r="B1283" s="13" t="s">
        <v>967</v>
      </c>
      <c r="C1283" s="79" t="s">
        <v>1289</v>
      </c>
      <c r="D1283" s="13" t="s">
        <v>590</v>
      </c>
      <c r="E1283" s="13" t="s">
        <v>426</v>
      </c>
      <c r="F1283" s="13">
        <v>3000.0</v>
      </c>
      <c r="G1283" s="13">
        <v>3000.0</v>
      </c>
    </row>
    <row r="1284">
      <c r="D1284" s="13" t="s">
        <v>1290</v>
      </c>
      <c r="E1284" s="13" t="s">
        <v>426</v>
      </c>
      <c r="F1284" s="13">
        <v>15000.0</v>
      </c>
      <c r="G1284" s="13">
        <v>15000.0</v>
      </c>
    </row>
    <row r="1285">
      <c r="D1285" s="13" t="s">
        <v>444</v>
      </c>
      <c r="E1285" s="13" t="s">
        <v>429</v>
      </c>
      <c r="F1285" s="13">
        <v>10650.0</v>
      </c>
      <c r="G1285" s="32">
        <f>2*F1285</f>
        <v>21300</v>
      </c>
      <c r="H1285" s="13" t="s">
        <v>1291</v>
      </c>
    </row>
    <row r="1286">
      <c r="D1286" s="13" t="s">
        <v>1028</v>
      </c>
      <c r="E1286" s="13" t="s">
        <v>426</v>
      </c>
      <c r="F1286" s="13">
        <v>14000.0</v>
      </c>
      <c r="G1286" s="13">
        <v>14000.0</v>
      </c>
    </row>
    <row r="1287">
      <c r="D1287" s="13" t="s">
        <v>1292</v>
      </c>
      <c r="E1287" s="13">
        <v>1.0</v>
      </c>
      <c r="F1287" s="13">
        <v>8200.0</v>
      </c>
      <c r="G1287" s="13">
        <v>8200.0</v>
      </c>
    </row>
    <row r="1288">
      <c r="D1288" s="13" t="s">
        <v>1293</v>
      </c>
      <c r="E1288" s="13">
        <v>1.0</v>
      </c>
      <c r="F1288" s="13">
        <v>1600.0</v>
      </c>
      <c r="G1288" s="13">
        <v>1600.0</v>
      </c>
    </row>
    <row r="1289">
      <c r="D1289" s="13" t="s">
        <v>1294</v>
      </c>
      <c r="E1289" s="13">
        <v>2.0</v>
      </c>
      <c r="F1289" s="13">
        <v>1300.0</v>
      </c>
      <c r="G1289" s="32">
        <f>E1289*F1289</f>
        <v>2600</v>
      </c>
    </row>
    <row r="1290">
      <c r="D1290" s="13" t="s">
        <v>1295</v>
      </c>
      <c r="E1290" s="13">
        <v>1.0</v>
      </c>
      <c r="F1290" s="13">
        <v>3800.0</v>
      </c>
      <c r="G1290" s="13">
        <v>3800.0</v>
      </c>
    </row>
    <row r="1291">
      <c r="D1291" s="13"/>
      <c r="E1291" s="13"/>
      <c r="F1291" s="13"/>
    </row>
    <row r="1292">
      <c r="B1292" s="13" t="s">
        <v>1296</v>
      </c>
      <c r="C1292" s="79" t="s">
        <v>1297</v>
      </c>
      <c r="D1292" s="13" t="s">
        <v>955</v>
      </c>
      <c r="E1292" s="13" t="s">
        <v>426</v>
      </c>
      <c r="F1292" s="13">
        <v>6500.0</v>
      </c>
      <c r="G1292" s="13">
        <v>6500.0</v>
      </c>
    </row>
    <row r="1293">
      <c r="D1293" s="13" t="s">
        <v>1254</v>
      </c>
      <c r="E1293" s="13">
        <v>1.0</v>
      </c>
      <c r="F1293" s="13">
        <v>3500.0</v>
      </c>
      <c r="G1293" s="13">
        <v>3500.0</v>
      </c>
    </row>
    <row r="1294">
      <c r="D1294" s="13"/>
      <c r="E1294" s="13"/>
      <c r="F1294" s="13"/>
    </row>
    <row r="1295">
      <c r="B1295" s="13" t="s">
        <v>967</v>
      </c>
      <c r="C1295" s="79" t="s">
        <v>1298</v>
      </c>
      <c r="D1295" s="13" t="s">
        <v>669</v>
      </c>
      <c r="E1295" s="13" t="s">
        <v>426</v>
      </c>
      <c r="F1295" s="13">
        <v>15000.0</v>
      </c>
      <c r="G1295" s="13">
        <v>15000.0</v>
      </c>
    </row>
    <row r="1296">
      <c r="D1296" s="13" t="s">
        <v>823</v>
      </c>
      <c r="E1296" s="13" t="s">
        <v>426</v>
      </c>
      <c r="F1296" s="13">
        <v>3000.0</v>
      </c>
      <c r="G1296" s="13">
        <v>3000.0</v>
      </c>
    </row>
    <row r="1297">
      <c r="D1297" s="13" t="s">
        <v>543</v>
      </c>
      <c r="E1297" s="13" t="s">
        <v>426</v>
      </c>
      <c r="F1297" s="13">
        <v>7700.0</v>
      </c>
      <c r="G1297" s="13">
        <v>7700.0</v>
      </c>
    </row>
    <row r="1298">
      <c r="D1298" s="13" t="s">
        <v>1299</v>
      </c>
      <c r="E1298" s="13" t="s">
        <v>426</v>
      </c>
      <c r="F1298" s="13">
        <v>7500.0</v>
      </c>
      <c r="G1298" s="13">
        <v>7500.0</v>
      </c>
    </row>
    <row r="1299">
      <c r="D1299" s="13" t="s">
        <v>444</v>
      </c>
      <c r="E1299" s="13" t="s">
        <v>426</v>
      </c>
      <c r="F1299" s="13">
        <v>11000.0</v>
      </c>
      <c r="G1299" s="13">
        <v>11000.0</v>
      </c>
    </row>
    <row r="1300">
      <c r="D1300" s="13" t="s">
        <v>446</v>
      </c>
      <c r="E1300" s="13" t="s">
        <v>426</v>
      </c>
      <c r="F1300" s="13">
        <v>3600.0</v>
      </c>
      <c r="G1300" s="13">
        <v>3600.0</v>
      </c>
    </row>
    <row r="1301">
      <c r="D1301" s="13" t="s">
        <v>1033</v>
      </c>
      <c r="E1301" s="13" t="s">
        <v>426</v>
      </c>
      <c r="F1301" s="13">
        <v>4400.0</v>
      </c>
      <c r="G1301" s="13">
        <v>4400.0</v>
      </c>
    </row>
    <row r="1302">
      <c r="D1302" s="13" t="s">
        <v>1300</v>
      </c>
      <c r="E1302" s="13">
        <v>1.0</v>
      </c>
      <c r="F1302" s="13">
        <v>1300.0</v>
      </c>
      <c r="G1302" s="13">
        <v>1300.0</v>
      </c>
    </row>
    <row r="1303">
      <c r="D1303" s="13" t="s">
        <v>1042</v>
      </c>
      <c r="E1303" s="13" t="s">
        <v>426</v>
      </c>
      <c r="F1303" s="13">
        <v>7100.0</v>
      </c>
      <c r="G1303" s="13">
        <v>7100.0</v>
      </c>
    </row>
    <row r="1304">
      <c r="D1304" s="13" t="s">
        <v>1301</v>
      </c>
      <c r="E1304" s="13" t="s">
        <v>426</v>
      </c>
      <c r="F1304" s="13">
        <v>12900.0</v>
      </c>
      <c r="G1304" s="13">
        <v>12900.0</v>
      </c>
    </row>
    <row r="1305">
      <c r="D1305" s="13" t="s">
        <v>1302</v>
      </c>
      <c r="E1305" s="13">
        <v>1.0</v>
      </c>
      <c r="F1305" s="13">
        <v>8200.0</v>
      </c>
      <c r="G1305" s="13">
        <v>8200.0</v>
      </c>
    </row>
    <row r="1306">
      <c r="D1306" s="13"/>
      <c r="E1306" s="13"/>
      <c r="F1306" s="13"/>
    </row>
    <row r="1307">
      <c r="B1307" s="13" t="s">
        <v>967</v>
      </c>
      <c r="C1307" s="79" t="s">
        <v>935</v>
      </c>
      <c r="D1307" s="13" t="s">
        <v>1303</v>
      </c>
      <c r="E1307" s="13" t="s">
        <v>426</v>
      </c>
      <c r="F1307" s="13">
        <v>7000.0</v>
      </c>
      <c r="G1307" s="13">
        <v>7000.0</v>
      </c>
    </row>
    <row r="1308">
      <c r="D1308" s="13"/>
      <c r="E1308" s="13"/>
      <c r="F1308" s="13"/>
    </row>
    <row r="1309">
      <c r="C1309" s="79" t="s">
        <v>1304</v>
      </c>
      <c r="D1309" s="13" t="s">
        <v>1301</v>
      </c>
      <c r="E1309" s="13" t="s">
        <v>426</v>
      </c>
      <c r="F1309" s="13">
        <v>12900.0</v>
      </c>
      <c r="G1309" s="13">
        <v>12900.0</v>
      </c>
    </row>
    <row r="1310">
      <c r="D1310" s="13"/>
      <c r="E1310" s="13"/>
      <c r="F1310" s="13"/>
    </row>
    <row r="1311">
      <c r="D1311" s="13"/>
      <c r="E1311" s="13"/>
      <c r="F1311" s="13"/>
    </row>
    <row r="1312">
      <c r="B1312" s="13" t="s">
        <v>967</v>
      </c>
      <c r="C1312" s="79" t="s">
        <v>1305</v>
      </c>
      <c r="D1312" s="13" t="s">
        <v>598</v>
      </c>
      <c r="E1312" s="13" t="s">
        <v>1306</v>
      </c>
      <c r="F1312" s="13">
        <v>20000.0</v>
      </c>
      <c r="G1312" s="13">
        <f>2*F1312</f>
        <v>40000</v>
      </c>
    </row>
    <row r="1313">
      <c r="D1313" s="13" t="s">
        <v>1307</v>
      </c>
      <c r="E1313" s="13" t="s">
        <v>426</v>
      </c>
      <c r="F1313" s="13">
        <v>11100.0</v>
      </c>
      <c r="G1313" s="13">
        <v>11100.0</v>
      </c>
    </row>
    <row r="1314">
      <c r="D1314" s="13" t="s">
        <v>607</v>
      </c>
      <c r="E1314" s="13" t="s">
        <v>426</v>
      </c>
      <c r="F1314" s="13">
        <v>7400.0</v>
      </c>
      <c r="G1314" s="13">
        <v>7400.0</v>
      </c>
    </row>
    <row r="1315">
      <c r="D1315" s="13" t="s">
        <v>1308</v>
      </c>
      <c r="E1315" s="13" t="s">
        <v>426</v>
      </c>
      <c r="F1315" s="13">
        <v>5700.0</v>
      </c>
      <c r="G1315" s="13">
        <v>5700.0</v>
      </c>
    </row>
    <row r="1316">
      <c r="D1316" s="13" t="s">
        <v>600</v>
      </c>
      <c r="E1316" s="13" t="s">
        <v>426</v>
      </c>
      <c r="F1316" s="13">
        <v>5800.0</v>
      </c>
      <c r="G1316" s="13">
        <v>5800.0</v>
      </c>
    </row>
    <row r="1317">
      <c r="D1317" s="13" t="s">
        <v>444</v>
      </c>
      <c r="E1317" s="13" t="s">
        <v>426</v>
      </c>
      <c r="F1317" s="13">
        <v>11000.0</v>
      </c>
      <c r="G1317" s="13">
        <v>11000.0</v>
      </c>
    </row>
    <row r="1318">
      <c r="D1318" s="13" t="s">
        <v>1309</v>
      </c>
      <c r="E1318" s="13" t="s">
        <v>426</v>
      </c>
      <c r="F1318" s="13">
        <v>13000.0</v>
      </c>
      <c r="G1318" s="13">
        <v>13000.0</v>
      </c>
    </row>
    <row r="1319">
      <c r="D1319" s="13"/>
      <c r="E1319" s="13"/>
      <c r="F1319" s="13"/>
    </row>
    <row r="1320">
      <c r="B1320" s="13" t="s">
        <v>928</v>
      </c>
      <c r="C1320" s="79" t="s">
        <v>1310</v>
      </c>
      <c r="D1320" s="13" t="s">
        <v>640</v>
      </c>
      <c r="E1320" s="13" t="s">
        <v>426</v>
      </c>
      <c r="F1320" s="13">
        <v>5700.0</v>
      </c>
      <c r="G1320" s="13">
        <v>5700.0</v>
      </c>
    </row>
    <row r="1321">
      <c r="D1321" s="13"/>
      <c r="E1321" s="13"/>
      <c r="F1321" s="13"/>
    </row>
    <row r="1322">
      <c r="B1322" s="13" t="s">
        <v>928</v>
      </c>
      <c r="C1322" s="79" t="s">
        <v>1311</v>
      </c>
      <c r="D1322" s="13" t="s">
        <v>1312</v>
      </c>
      <c r="E1322" s="13" t="s">
        <v>426</v>
      </c>
      <c r="F1322" s="19">
        <v>15000.0</v>
      </c>
      <c r="G1322" s="13">
        <v>15000.0</v>
      </c>
    </row>
    <row r="1323">
      <c r="D1323" s="13" t="s">
        <v>640</v>
      </c>
      <c r="E1323" s="13" t="s">
        <v>426</v>
      </c>
      <c r="F1323" s="19">
        <v>5700.0</v>
      </c>
      <c r="G1323" s="13">
        <v>5700.0</v>
      </c>
    </row>
    <row r="1324">
      <c r="D1324" s="98" t="s">
        <v>174</v>
      </c>
      <c r="E1324" s="13">
        <v>1.0</v>
      </c>
      <c r="F1324" s="13">
        <v>2500.0</v>
      </c>
      <c r="G1324" s="13">
        <v>2500.0</v>
      </c>
    </row>
    <row r="1325">
      <c r="D1325" s="13" t="s">
        <v>1313</v>
      </c>
      <c r="E1325" s="13">
        <v>1.0</v>
      </c>
      <c r="F1325" s="13">
        <v>3500.0</v>
      </c>
      <c r="G1325" s="13">
        <v>3500.0</v>
      </c>
    </row>
    <row r="1326">
      <c r="D1326" s="13"/>
      <c r="E1326" s="13"/>
      <c r="F1326" s="13"/>
    </row>
    <row r="1327">
      <c r="B1327" s="13" t="s">
        <v>1155</v>
      </c>
      <c r="C1327" s="79" t="s">
        <v>1314</v>
      </c>
      <c r="D1327" s="98" t="s">
        <v>1274</v>
      </c>
      <c r="E1327" s="13">
        <v>2.0</v>
      </c>
      <c r="F1327" s="13">
        <v>2500.0</v>
      </c>
      <c r="G1327" s="13">
        <v>5000.0</v>
      </c>
    </row>
    <row r="1328">
      <c r="D1328" s="13" t="s">
        <v>1270</v>
      </c>
      <c r="E1328" s="13" t="s">
        <v>426</v>
      </c>
      <c r="F1328" s="13">
        <v>16000.0</v>
      </c>
      <c r="G1328" s="13">
        <v>16000.0</v>
      </c>
    </row>
    <row r="1329">
      <c r="D1329" s="13" t="s">
        <v>911</v>
      </c>
      <c r="E1329" s="13" t="s">
        <v>426</v>
      </c>
      <c r="F1329" s="13">
        <v>12000.0</v>
      </c>
      <c r="G1329" s="13">
        <v>12000.0</v>
      </c>
    </row>
    <row r="1330">
      <c r="D1330" s="13"/>
      <c r="E1330" s="13"/>
      <c r="F1330" s="13"/>
    </row>
    <row r="1331">
      <c r="B1331" s="13" t="s">
        <v>757</v>
      </c>
      <c r="C1331" s="79" t="s">
        <v>1315</v>
      </c>
      <c r="D1331" s="13" t="s">
        <v>1316</v>
      </c>
      <c r="E1331" s="13" t="s">
        <v>426</v>
      </c>
      <c r="F1331" s="19">
        <v>13000.0</v>
      </c>
      <c r="G1331" s="13">
        <v>13000.0</v>
      </c>
    </row>
    <row r="1332">
      <c r="D1332" s="13"/>
      <c r="E1332" s="13"/>
      <c r="F1332" s="13"/>
    </row>
    <row r="1333">
      <c r="B1333" s="13" t="s">
        <v>757</v>
      </c>
      <c r="C1333" s="79" t="s">
        <v>714</v>
      </c>
      <c r="D1333" s="13" t="s">
        <v>1243</v>
      </c>
      <c r="E1333" s="13">
        <v>2.0</v>
      </c>
      <c r="F1333" s="13">
        <v>1430.0</v>
      </c>
      <c r="G1333" s="13">
        <v>2860.0</v>
      </c>
    </row>
    <row r="1334">
      <c r="D1334" s="13" t="s">
        <v>552</v>
      </c>
      <c r="E1334" s="13" t="s">
        <v>426</v>
      </c>
      <c r="F1334" s="13"/>
      <c r="G1334" s="13">
        <v>3200.0</v>
      </c>
    </row>
    <row r="1335">
      <c r="E1335" s="13"/>
      <c r="F1335" s="13"/>
    </row>
    <row r="1336">
      <c r="C1336" s="14"/>
      <c r="F1336" s="19"/>
    </row>
    <row r="1338">
      <c r="D1338" s="13"/>
      <c r="E1338" s="13"/>
      <c r="F1338" s="13"/>
    </row>
    <row r="1339">
      <c r="B1339" s="13" t="s">
        <v>757</v>
      </c>
      <c r="C1339" s="79" t="s">
        <v>1317</v>
      </c>
      <c r="D1339" s="13" t="s">
        <v>1318</v>
      </c>
      <c r="E1339" s="13" t="s">
        <v>426</v>
      </c>
      <c r="F1339" s="13">
        <v>17000.0</v>
      </c>
      <c r="G1339" s="13">
        <v>17000.0</v>
      </c>
    </row>
    <row r="1340">
      <c r="D1340" s="13"/>
      <c r="E1340" s="13"/>
      <c r="F1340" s="13"/>
    </row>
    <row r="1341">
      <c r="D1341" s="13"/>
      <c r="E1341" s="13"/>
      <c r="F1341" s="13"/>
    </row>
    <row r="1342">
      <c r="B1342" s="13" t="s">
        <v>811</v>
      </c>
      <c r="C1342" s="79" t="s">
        <v>1319</v>
      </c>
      <c r="D1342" s="13" t="s">
        <v>1320</v>
      </c>
      <c r="E1342" s="13" t="s">
        <v>426</v>
      </c>
      <c r="F1342" s="13"/>
      <c r="G1342" s="13">
        <v>2300.0</v>
      </c>
    </row>
    <row r="1343">
      <c r="D1343" s="13" t="s">
        <v>607</v>
      </c>
      <c r="E1343" s="13" t="s">
        <v>426</v>
      </c>
      <c r="F1343" s="13"/>
      <c r="G1343" s="13">
        <v>7400.0</v>
      </c>
    </row>
    <row r="1344">
      <c r="D1344" s="13" t="s">
        <v>823</v>
      </c>
      <c r="E1344" s="13" t="s">
        <v>426</v>
      </c>
      <c r="F1344" s="13"/>
      <c r="G1344" s="13">
        <v>3000.0</v>
      </c>
    </row>
    <row r="1345">
      <c r="D1345" s="13" t="s">
        <v>1128</v>
      </c>
      <c r="E1345" s="13" t="s">
        <v>429</v>
      </c>
      <c r="F1345" s="13"/>
      <c r="G1345" s="13">
        <v>30000.0</v>
      </c>
    </row>
    <row r="1346">
      <c r="D1346" s="13" t="s">
        <v>1321</v>
      </c>
      <c r="E1346" s="13" t="s">
        <v>426</v>
      </c>
      <c r="F1346" s="13"/>
      <c r="G1346" s="13">
        <v>13000.0</v>
      </c>
    </row>
    <row r="1347">
      <c r="D1347" s="13" t="s">
        <v>908</v>
      </c>
      <c r="E1347" s="13" t="s">
        <v>426</v>
      </c>
      <c r="F1347" s="13"/>
      <c r="G1347" s="13">
        <v>7500.0</v>
      </c>
    </row>
    <row r="1348">
      <c r="D1348" s="13" t="s">
        <v>1322</v>
      </c>
      <c r="E1348" s="13">
        <v>1.0</v>
      </c>
      <c r="F1348" s="13"/>
      <c r="H1348" s="13" t="s">
        <v>1014</v>
      </c>
    </row>
    <row r="1349">
      <c r="D1349" s="13"/>
      <c r="E1349" s="13"/>
      <c r="F1349" s="13"/>
    </row>
    <row r="1350">
      <c r="C1350" s="79" t="s">
        <v>542</v>
      </c>
      <c r="D1350" s="13" t="s">
        <v>1323</v>
      </c>
      <c r="E1350" s="13">
        <v>1.0</v>
      </c>
      <c r="F1350" s="13"/>
      <c r="G1350" s="13">
        <v>8190.0</v>
      </c>
    </row>
    <row r="1351">
      <c r="D1351" s="13" t="s">
        <v>1324</v>
      </c>
      <c r="E1351" s="13">
        <v>1.0</v>
      </c>
      <c r="F1351" s="13"/>
      <c r="G1351" s="13">
        <v>10400.0</v>
      </c>
    </row>
    <row r="1352">
      <c r="D1352" s="13"/>
      <c r="E1352" s="13"/>
      <c r="F1352" s="13"/>
      <c r="H1352" s="32">
        <f>751250-586316</f>
        <v>164934</v>
      </c>
    </row>
    <row r="1353">
      <c r="B1353" s="78">
        <v>45893.0</v>
      </c>
      <c r="D1353" s="13"/>
      <c r="E1353" s="13"/>
      <c r="F1353" s="13"/>
    </row>
    <row r="1354">
      <c r="B1354" s="13" t="s">
        <v>792</v>
      </c>
      <c r="C1354" s="79" t="s">
        <v>1325</v>
      </c>
      <c r="D1354" s="13" t="s">
        <v>1270</v>
      </c>
      <c r="E1354" s="13" t="s">
        <v>426</v>
      </c>
      <c r="F1354" s="13">
        <v>16000.0</v>
      </c>
      <c r="G1354" s="13">
        <v>16000.0</v>
      </c>
    </row>
    <row r="1355">
      <c r="D1355" s="13" t="s">
        <v>1326</v>
      </c>
      <c r="E1355" s="13" t="s">
        <v>426</v>
      </c>
      <c r="F1355" s="13">
        <v>3000.0</v>
      </c>
      <c r="G1355" s="13">
        <v>3000.0</v>
      </c>
    </row>
    <row r="1356">
      <c r="D1356" s="13"/>
      <c r="E1356" s="13"/>
      <c r="F1356" s="13"/>
    </row>
    <row r="1357">
      <c r="B1357" s="13" t="s">
        <v>757</v>
      </c>
      <c r="C1357" s="79" t="s">
        <v>1327</v>
      </c>
      <c r="D1357" s="13" t="s">
        <v>1270</v>
      </c>
      <c r="E1357" s="13" t="s">
        <v>426</v>
      </c>
      <c r="F1357" s="13">
        <v>16000.0</v>
      </c>
      <c r="G1357" s="13">
        <v>16000.0</v>
      </c>
    </row>
    <row r="1358">
      <c r="D1358" s="13" t="s">
        <v>653</v>
      </c>
      <c r="E1358" s="13" t="s">
        <v>426</v>
      </c>
      <c r="F1358" s="13">
        <v>7400.0</v>
      </c>
      <c r="G1358" s="13">
        <v>7400.0</v>
      </c>
    </row>
    <row r="1359">
      <c r="D1359" s="13" t="s">
        <v>1328</v>
      </c>
      <c r="E1359" s="13" t="s">
        <v>426</v>
      </c>
      <c r="F1359" s="13">
        <v>7500.0</v>
      </c>
      <c r="G1359" s="13">
        <v>7500.0</v>
      </c>
    </row>
    <row r="1360">
      <c r="D1360" s="13" t="s">
        <v>1329</v>
      </c>
      <c r="E1360" s="13" t="s">
        <v>426</v>
      </c>
      <c r="F1360" s="13">
        <v>7500.0</v>
      </c>
      <c r="G1360" s="13">
        <v>7500.0</v>
      </c>
    </row>
    <row r="1361">
      <c r="D1361" s="13" t="s">
        <v>823</v>
      </c>
      <c r="E1361" s="13" t="s">
        <v>426</v>
      </c>
      <c r="F1361" s="13">
        <v>3000.0</v>
      </c>
      <c r="G1361" s="13">
        <v>3000.0</v>
      </c>
    </row>
    <row r="1362">
      <c r="D1362" s="13"/>
      <c r="E1362" s="13"/>
      <c r="F1362" s="13"/>
    </row>
    <row r="1363">
      <c r="B1363" s="13" t="s">
        <v>1296</v>
      </c>
      <c r="C1363" s="79" t="s">
        <v>461</v>
      </c>
      <c r="D1363" s="13" t="s">
        <v>605</v>
      </c>
      <c r="E1363" s="13" t="s">
        <v>426</v>
      </c>
      <c r="F1363" s="13">
        <v>7500.0</v>
      </c>
      <c r="G1363" s="13">
        <v>7500.0</v>
      </c>
    </row>
    <row r="1364">
      <c r="D1364" s="13" t="s">
        <v>644</v>
      </c>
      <c r="E1364" s="13">
        <v>1.0</v>
      </c>
      <c r="F1364" s="13">
        <v>2500.0</v>
      </c>
      <c r="G1364" s="13">
        <v>2500.0</v>
      </c>
    </row>
    <row r="1365">
      <c r="D1365" s="13"/>
      <c r="E1365" s="13"/>
      <c r="F1365" s="13"/>
    </row>
    <row r="1366">
      <c r="B1366" s="13" t="s">
        <v>783</v>
      </c>
      <c r="C1366" s="79" t="s">
        <v>1330</v>
      </c>
      <c r="D1366" s="13" t="s">
        <v>964</v>
      </c>
      <c r="E1366" s="13" t="s">
        <v>426</v>
      </c>
      <c r="F1366" s="13">
        <v>7000.0</v>
      </c>
      <c r="G1366" s="13">
        <v>7000.0</v>
      </c>
    </row>
    <row r="1367">
      <c r="D1367" s="13" t="s">
        <v>1331</v>
      </c>
      <c r="E1367" s="13" t="s">
        <v>752</v>
      </c>
      <c r="H1367" s="13" t="s">
        <v>1014</v>
      </c>
    </row>
    <row r="1368">
      <c r="D1368" s="13" t="s">
        <v>908</v>
      </c>
      <c r="E1368" s="84">
        <v>45748.0</v>
      </c>
      <c r="F1368" s="13"/>
      <c r="G1368" s="13">
        <v>2500.0</v>
      </c>
    </row>
    <row r="1369">
      <c r="D1369" s="13" t="s">
        <v>1332</v>
      </c>
      <c r="E1369" s="13">
        <v>4.0</v>
      </c>
      <c r="F1369" s="13">
        <v>3400.0</v>
      </c>
      <c r="G1369" s="13">
        <f>4*F1369</f>
        <v>13600</v>
      </c>
    </row>
    <row r="1370">
      <c r="D1370" s="13" t="s">
        <v>644</v>
      </c>
      <c r="E1370" s="13">
        <v>4.0</v>
      </c>
      <c r="F1370" s="13">
        <v>2500.0</v>
      </c>
      <c r="G1370" s="13">
        <v>10000.0</v>
      </c>
    </row>
    <row r="1371">
      <c r="D1371" s="13" t="s">
        <v>716</v>
      </c>
      <c r="E1371" s="13" t="s">
        <v>426</v>
      </c>
      <c r="F1371" s="13">
        <v>7400.0</v>
      </c>
      <c r="G1371" s="13">
        <v>7400.0</v>
      </c>
    </row>
    <row r="1372">
      <c r="D1372" s="13" t="s">
        <v>1333</v>
      </c>
      <c r="E1372" s="13" t="s">
        <v>426</v>
      </c>
      <c r="F1372" s="13">
        <v>2500.0</v>
      </c>
      <c r="G1372" s="13">
        <v>2500.0</v>
      </c>
    </row>
    <row r="1373">
      <c r="D1373" s="13" t="s">
        <v>606</v>
      </c>
      <c r="E1373" s="13" t="s">
        <v>426</v>
      </c>
      <c r="F1373" s="13">
        <v>5700.0</v>
      </c>
      <c r="G1373" s="13">
        <v>5700.0</v>
      </c>
    </row>
    <row r="1374">
      <c r="D1374" s="13" t="s">
        <v>1334</v>
      </c>
      <c r="E1374" s="13">
        <v>1.0</v>
      </c>
      <c r="F1374" s="13">
        <v>4200.0</v>
      </c>
      <c r="G1374" s="13">
        <v>4200.0</v>
      </c>
    </row>
    <row r="1375">
      <c r="D1375" s="13"/>
      <c r="E1375" s="13"/>
      <c r="F1375" s="13"/>
    </row>
    <row r="1376">
      <c r="B1376" s="13" t="s">
        <v>792</v>
      </c>
      <c r="C1376" s="79" t="s">
        <v>1335</v>
      </c>
      <c r="D1376" s="13" t="s">
        <v>867</v>
      </c>
      <c r="E1376" s="13" t="s">
        <v>429</v>
      </c>
      <c r="F1376" s="13">
        <v>3000.0</v>
      </c>
      <c r="G1376" s="13">
        <v>6000.0</v>
      </c>
    </row>
    <row r="1377">
      <c r="D1377" s="13" t="s">
        <v>1270</v>
      </c>
      <c r="E1377" s="13" t="s">
        <v>426</v>
      </c>
      <c r="F1377" s="13">
        <v>16000.0</v>
      </c>
      <c r="G1377" s="13">
        <v>16000.0</v>
      </c>
    </row>
    <row r="1378">
      <c r="D1378" s="13" t="s">
        <v>1336</v>
      </c>
      <c r="E1378" s="13" t="s">
        <v>426</v>
      </c>
      <c r="F1378" s="13">
        <v>10500.0</v>
      </c>
      <c r="G1378" s="13">
        <v>10500.0</v>
      </c>
    </row>
    <row r="1379">
      <c r="D1379" s="13" t="s">
        <v>908</v>
      </c>
      <c r="E1379" s="13" t="s">
        <v>426</v>
      </c>
      <c r="F1379" s="13">
        <v>7500.0</v>
      </c>
      <c r="G1379" s="13">
        <v>7500.0</v>
      </c>
    </row>
    <row r="1380">
      <c r="D1380" s="13" t="s">
        <v>1337</v>
      </c>
      <c r="E1380" s="13" t="s">
        <v>426</v>
      </c>
      <c r="F1380" s="13">
        <v>3500.0</v>
      </c>
      <c r="G1380" s="13">
        <v>3500.0</v>
      </c>
    </row>
    <row r="1381">
      <c r="D1381" s="13" t="s">
        <v>955</v>
      </c>
      <c r="E1381" s="13" t="s">
        <v>426</v>
      </c>
      <c r="F1381" s="13">
        <v>6500.0</v>
      </c>
      <c r="G1381" s="13">
        <v>6500.0</v>
      </c>
    </row>
    <row r="1382">
      <c r="D1382" s="13" t="s">
        <v>1338</v>
      </c>
      <c r="E1382" s="13" t="s">
        <v>426</v>
      </c>
      <c r="F1382" s="13">
        <v>23000.0</v>
      </c>
      <c r="G1382" s="13">
        <v>23000.0</v>
      </c>
    </row>
    <row r="1383">
      <c r="D1383" s="13"/>
      <c r="E1383" s="13"/>
      <c r="F1383" s="13"/>
    </row>
    <row r="1384">
      <c r="B1384" s="13" t="s">
        <v>757</v>
      </c>
      <c r="C1384" s="79" t="s">
        <v>1339</v>
      </c>
      <c r="D1384" s="13" t="s">
        <v>640</v>
      </c>
      <c r="E1384" s="13" t="s">
        <v>426</v>
      </c>
      <c r="F1384" s="13">
        <v>5700.0</v>
      </c>
      <c r="G1384" s="13">
        <v>5700.0</v>
      </c>
    </row>
    <row r="1385">
      <c r="D1385" s="13" t="s">
        <v>1270</v>
      </c>
      <c r="E1385" s="13" t="s">
        <v>426</v>
      </c>
      <c r="F1385" s="13">
        <v>16000.0</v>
      </c>
      <c r="G1385" s="13">
        <v>16000.0</v>
      </c>
    </row>
    <row r="1386">
      <c r="D1386" s="13"/>
      <c r="E1386" s="13"/>
      <c r="F1386" s="13"/>
    </row>
    <row r="1387">
      <c r="D1387" s="13"/>
      <c r="E1387" s="13"/>
      <c r="F1387" s="13"/>
    </row>
    <row r="1388">
      <c r="B1388" s="13" t="s">
        <v>811</v>
      </c>
      <c r="C1388" s="79" t="s">
        <v>1340</v>
      </c>
      <c r="D1388" s="13" t="s">
        <v>1322</v>
      </c>
      <c r="E1388" s="13">
        <v>1.0</v>
      </c>
      <c r="F1388" s="13">
        <v>1700.0</v>
      </c>
      <c r="G1388" s="13">
        <v>1700.0</v>
      </c>
    </row>
    <row r="1389">
      <c r="D1389" s="13"/>
      <c r="E1389" s="13"/>
      <c r="F1389" s="13"/>
    </row>
    <row r="1390">
      <c r="B1390" s="13" t="s">
        <v>811</v>
      </c>
      <c r="C1390" s="79" t="s">
        <v>1289</v>
      </c>
      <c r="D1390" s="13" t="s">
        <v>1341</v>
      </c>
      <c r="E1390" s="13">
        <v>1.0</v>
      </c>
      <c r="F1390" s="13">
        <v>4500.0</v>
      </c>
      <c r="H1390" s="13" t="s">
        <v>1014</v>
      </c>
    </row>
    <row r="1391">
      <c r="D1391" s="13" t="s">
        <v>1342</v>
      </c>
      <c r="E1391" s="13" t="s">
        <v>426</v>
      </c>
      <c r="F1391" s="13">
        <v>12000.0</v>
      </c>
      <c r="G1391" s="13">
        <v>12000.0</v>
      </c>
    </row>
    <row r="1392">
      <c r="D1392" s="13"/>
      <c r="E1392" s="13"/>
      <c r="F1392" s="13"/>
    </row>
    <row r="1393">
      <c r="B1393" s="13" t="s">
        <v>811</v>
      </c>
      <c r="C1393" s="79" t="s">
        <v>457</v>
      </c>
      <c r="D1393" s="13" t="s">
        <v>540</v>
      </c>
      <c r="E1393" s="13" t="s">
        <v>426</v>
      </c>
      <c r="F1393" s="13">
        <v>3000.0</v>
      </c>
      <c r="G1393" s="13">
        <v>3000.0</v>
      </c>
    </row>
    <row r="1394">
      <c r="D1394" s="13" t="s">
        <v>1275</v>
      </c>
      <c r="E1394" s="13" t="s">
        <v>426</v>
      </c>
      <c r="F1394" s="13">
        <v>16000.0</v>
      </c>
      <c r="G1394" s="13">
        <v>16000.0</v>
      </c>
    </row>
    <row r="1395">
      <c r="D1395" s="13" t="s">
        <v>824</v>
      </c>
      <c r="E1395" s="13" t="s">
        <v>426</v>
      </c>
      <c r="F1395" s="13"/>
      <c r="H1395" s="13" t="s">
        <v>1014</v>
      </c>
    </row>
    <row r="1396">
      <c r="D1396" s="13" t="s">
        <v>1157</v>
      </c>
      <c r="E1396" s="13" t="s">
        <v>426</v>
      </c>
      <c r="F1396" s="13">
        <v>7500.0</v>
      </c>
      <c r="G1396" s="13">
        <v>7500.0</v>
      </c>
    </row>
    <row r="1397">
      <c r="D1397" s="13" t="s">
        <v>447</v>
      </c>
      <c r="E1397" s="13" t="s">
        <v>426</v>
      </c>
      <c r="F1397" s="13">
        <v>13700.0</v>
      </c>
      <c r="G1397" s="13">
        <v>13700.0</v>
      </c>
    </row>
    <row r="1398">
      <c r="D1398" s="13"/>
      <c r="E1398" s="13"/>
      <c r="F1398" s="13"/>
    </row>
    <row r="1399">
      <c r="B1399" s="13" t="s">
        <v>1296</v>
      </c>
      <c r="C1399" s="79" t="s">
        <v>1141</v>
      </c>
      <c r="D1399" s="13" t="s">
        <v>823</v>
      </c>
      <c r="E1399" s="13" t="s">
        <v>426</v>
      </c>
      <c r="F1399" s="13">
        <v>3000.0</v>
      </c>
      <c r="G1399" s="13">
        <v>3000.0</v>
      </c>
    </row>
    <row r="1400">
      <c r="D1400" s="13" t="s">
        <v>1322</v>
      </c>
      <c r="E1400" s="13">
        <v>1.0</v>
      </c>
      <c r="F1400" s="13">
        <v>1700.0</v>
      </c>
      <c r="G1400" s="13">
        <v>1700.0</v>
      </c>
    </row>
    <row r="1401">
      <c r="D1401" s="13" t="s">
        <v>1343</v>
      </c>
      <c r="E1401" s="13">
        <v>1.0</v>
      </c>
      <c r="H1401" s="13" t="s">
        <v>1014</v>
      </c>
    </row>
    <row r="1402">
      <c r="C1402" s="14"/>
      <c r="D1402" s="13" t="s">
        <v>1344</v>
      </c>
      <c r="E1402" s="13">
        <v>1.0</v>
      </c>
      <c r="F1402" s="19">
        <v>6000.0</v>
      </c>
      <c r="G1402" s="19">
        <v>6000.0</v>
      </c>
    </row>
    <row r="1403">
      <c r="C1403" s="14"/>
      <c r="D1403" s="13" t="s">
        <v>822</v>
      </c>
      <c r="E1403" s="13" t="s">
        <v>426</v>
      </c>
      <c r="F1403" s="19">
        <v>15000.0</v>
      </c>
      <c r="G1403" s="19">
        <v>15000.0</v>
      </c>
    </row>
    <row r="1404">
      <c r="C1404" s="14"/>
      <c r="D1404" s="13"/>
      <c r="E1404" s="13"/>
      <c r="F1404" s="19"/>
      <c r="G1404" s="19"/>
    </row>
    <row r="1405">
      <c r="B1405" s="13" t="s">
        <v>757</v>
      </c>
      <c r="C1405" s="79" t="s">
        <v>1345</v>
      </c>
      <c r="D1405" s="13" t="s">
        <v>867</v>
      </c>
      <c r="E1405" s="13" t="s">
        <v>426</v>
      </c>
      <c r="F1405" s="19">
        <v>3000.0</v>
      </c>
      <c r="G1405" s="19">
        <v>3000.0</v>
      </c>
    </row>
    <row r="1406">
      <c r="D1406" s="13"/>
      <c r="E1406" s="13"/>
      <c r="F1406" s="13"/>
    </row>
    <row r="1407">
      <c r="B1407" s="13" t="s">
        <v>1276</v>
      </c>
      <c r="C1407" s="79" t="s">
        <v>1346</v>
      </c>
      <c r="D1407" s="13" t="s">
        <v>1332</v>
      </c>
      <c r="E1407" s="13">
        <v>1.0</v>
      </c>
      <c r="F1407" s="13">
        <v>3400.0</v>
      </c>
      <c r="G1407" s="13">
        <v>3400.0</v>
      </c>
    </row>
    <row r="1408">
      <c r="D1408" s="13" t="s">
        <v>1347</v>
      </c>
      <c r="E1408" s="13">
        <v>1.0</v>
      </c>
      <c r="F1408" s="13">
        <v>3000.0</v>
      </c>
      <c r="G1408" s="13">
        <v>3000.0</v>
      </c>
    </row>
    <row r="1409">
      <c r="D1409" s="13" t="s">
        <v>687</v>
      </c>
      <c r="E1409" s="13" t="s">
        <v>426</v>
      </c>
      <c r="F1409" s="13">
        <v>3600.0</v>
      </c>
      <c r="G1409" s="13">
        <v>3600.0</v>
      </c>
    </row>
    <row r="1410">
      <c r="D1410" s="13" t="s">
        <v>1348</v>
      </c>
      <c r="E1410" s="13">
        <v>1.0</v>
      </c>
      <c r="H1410" s="13" t="s">
        <v>1014</v>
      </c>
    </row>
    <row r="1411">
      <c r="D1411" s="13" t="s">
        <v>1349</v>
      </c>
      <c r="E1411" s="13"/>
      <c r="F1411" s="13">
        <v>13000.0</v>
      </c>
      <c r="G1411" s="13">
        <v>13000.0</v>
      </c>
    </row>
    <row r="1412">
      <c r="D1412" s="13"/>
      <c r="E1412" s="13"/>
      <c r="F1412" s="13"/>
    </row>
    <row r="1413">
      <c r="D1413" s="13"/>
      <c r="E1413" s="13"/>
      <c r="F1413" s="13"/>
    </row>
    <row r="1414">
      <c r="B1414" s="13" t="s">
        <v>811</v>
      </c>
      <c r="C1414" s="79" t="s">
        <v>1350</v>
      </c>
      <c r="D1414" s="13" t="s">
        <v>1101</v>
      </c>
      <c r="E1414" s="13" t="s">
        <v>426</v>
      </c>
      <c r="F1414" s="13">
        <v>16000.0</v>
      </c>
      <c r="G1414" s="13">
        <v>16000.0</v>
      </c>
    </row>
    <row r="1415">
      <c r="D1415" s="13"/>
      <c r="E1415" s="13"/>
      <c r="F1415" s="13"/>
    </row>
    <row r="1416">
      <c r="B1416" s="13" t="s">
        <v>757</v>
      </c>
      <c r="C1416" s="79" t="s">
        <v>714</v>
      </c>
      <c r="D1416" s="13" t="s">
        <v>781</v>
      </c>
      <c r="E1416" s="13" t="s">
        <v>426</v>
      </c>
      <c r="F1416" s="13">
        <v>5400.0</v>
      </c>
      <c r="G1416" s="13">
        <v>5400.0</v>
      </c>
    </row>
    <row r="1417">
      <c r="D1417" s="13" t="s">
        <v>1351</v>
      </c>
      <c r="E1417" s="13">
        <v>3.0</v>
      </c>
      <c r="F1417" s="13">
        <v>1450.0</v>
      </c>
      <c r="G1417" s="32">
        <f>3*F1417</f>
        <v>4350</v>
      </c>
    </row>
    <row r="1418">
      <c r="D1418" s="13" t="s">
        <v>1352</v>
      </c>
      <c r="E1418" s="13" t="s">
        <v>426</v>
      </c>
      <c r="F1418" s="13">
        <v>8100.0</v>
      </c>
      <c r="G1418" s="13">
        <v>8100.0</v>
      </c>
    </row>
    <row r="1419">
      <c r="C1419" s="14"/>
      <c r="D1419" s="13" t="s">
        <v>1353</v>
      </c>
      <c r="E1419" s="13">
        <v>2.0</v>
      </c>
      <c r="F1419" s="13"/>
      <c r="G1419" s="56">
        <v>4920.0</v>
      </c>
      <c r="H1419" s="56" t="s">
        <v>1354</v>
      </c>
    </row>
    <row r="1420">
      <c r="C1420" s="14"/>
      <c r="D1420" s="13"/>
      <c r="E1420" s="13"/>
      <c r="F1420" s="13"/>
    </row>
    <row r="1421">
      <c r="C1421" s="79" t="s">
        <v>1355</v>
      </c>
      <c r="D1421" s="13" t="s">
        <v>1223</v>
      </c>
      <c r="E1421" s="13" t="s">
        <v>426</v>
      </c>
      <c r="F1421" s="13">
        <v>1300.0</v>
      </c>
      <c r="G1421" s="13">
        <v>1300.0</v>
      </c>
    </row>
    <row r="1422">
      <c r="D1422" s="13"/>
      <c r="E1422" s="13"/>
      <c r="F1422" s="13"/>
    </row>
    <row r="1423">
      <c r="B1423" s="13" t="s">
        <v>757</v>
      </c>
      <c r="C1423" s="79" t="s">
        <v>1356</v>
      </c>
      <c r="D1423" s="13" t="s">
        <v>1357</v>
      </c>
      <c r="E1423" s="13" t="s">
        <v>426</v>
      </c>
      <c r="F1423" s="19">
        <v>15000.0</v>
      </c>
      <c r="G1423" s="19">
        <v>15000.0</v>
      </c>
    </row>
    <row r="1424">
      <c r="D1424" s="13" t="s">
        <v>865</v>
      </c>
      <c r="E1424" s="13" t="s">
        <v>426</v>
      </c>
      <c r="F1424" s="13">
        <v>20000.0</v>
      </c>
      <c r="G1424" s="13">
        <v>20000.0</v>
      </c>
    </row>
    <row r="1425">
      <c r="D1425" s="13" t="s">
        <v>640</v>
      </c>
      <c r="E1425" s="13" t="s">
        <v>426</v>
      </c>
      <c r="F1425" s="13">
        <v>5700.0</v>
      </c>
      <c r="G1425" s="13">
        <v>5700.0</v>
      </c>
    </row>
    <row r="1426">
      <c r="D1426" s="13" t="s">
        <v>1180</v>
      </c>
      <c r="E1426" s="13" t="s">
        <v>426</v>
      </c>
      <c r="F1426" s="13">
        <v>10500.0</v>
      </c>
      <c r="G1426" s="13">
        <v>10500.0</v>
      </c>
    </row>
    <row r="1427">
      <c r="D1427" s="13" t="s">
        <v>568</v>
      </c>
      <c r="E1427" s="13" t="s">
        <v>426</v>
      </c>
      <c r="F1427" s="13">
        <v>2500.0</v>
      </c>
      <c r="G1427" s="13">
        <v>2500.0</v>
      </c>
    </row>
    <row r="1428">
      <c r="D1428" s="13" t="s">
        <v>1358</v>
      </c>
      <c r="E1428" s="13" t="s">
        <v>426</v>
      </c>
      <c r="F1428" s="13">
        <v>4400.0</v>
      </c>
      <c r="G1428" s="13">
        <v>4400.0</v>
      </c>
    </row>
    <row r="1429">
      <c r="D1429" s="13" t="s">
        <v>1359</v>
      </c>
      <c r="E1429" s="13" t="s">
        <v>426</v>
      </c>
      <c r="F1429" s="13">
        <v>5000.0</v>
      </c>
      <c r="G1429" s="13">
        <v>5000.0</v>
      </c>
    </row>
    <row r="1430">
      <c r="D1430" s="13" t="s">
        <v>1360</v>
      </c>
      <c r="E1430" s="13" t="s">
        <v>426</v>
      </c>
      <c r="F1430" s="13">
        <v>12900.0</v>
      </c>
      <c r="G1430" s="13">
        <v>12900.0</v>
      </c>
    </row>
    <row r="1431">
      <c r="D1431" s="13" t="s">
        <v>1361</v>
      </c>
      <c r="E1431" s="13" t="s">
        <v>426</v>
      </c>
      <c r="F1431" s="13">
        <v>2400.0</v>
      </c>
      <c r="G1431" s="13">
        <v>2400.0</v>
      </c>
    </row>
    <row r="1432">
      <c r="D1432" s="13" t="s">
        <v>1362</v>
      </c>
      <c r="E1432" s="13" t="s">
        <v>426</v>
      </c>
      <c r="F1432" s="13">
        <v>9400.0</v>
      </c>
      <c r="G1432" s="13">
        <v>9400.0</v>
      </c>
    </row>
    <row r="1433">
      <c r="D1433" s="13"/>
      <c r="E1433" s="13"/>
      <c r="F1433" s="13"/>
    </row>
    <row r="1434">
      <c r="C1434" s="79" t="s">
        <v>542</v>
      </c>
      <c r="D1434" s="13" t="s">
        <v>822</v>
      </c>
      <c r="E1434" s="13" t="s">
        <v>426</v>
      </c>
      <c r="F1434" s="13">
        <v>12300.0</v>
      </c>
      <c r="G1434" s="13">
        <v>12300.0</v>
      </c>
    </row>
    <row r="1435">
      <c r="D1435" s="13" t="s">
        <v>1351</v>
      </c>
      <c r="E1435" s="13">
        <v>2.0</v>
      </c>
      <c r="F1435" s="13">
        <v>1450.0</v>
      </c>
      <c r="G1435" s="32">
        <f>2*F1435</f>
        <v>2900</v>
      </c>
    </row>
    <row r="1436">
      <c r="D1436" s="13" t="s">
        <v>1363</v>
      </c>
      <c r="E1436" s="13" t="s">
        <v>426</v>
      </c>
      <c r="F1436" s="13">
        <v>13200.0</v>
      </c>
      <c r="G1436" s="13">
        <v>13200.0</v>
      </c>
    </row>
    <row r="1437">
      <c r="A1437" s="93"/>
      <c r="B1437" s="93"/>
      <c r="C1437" s="14"/>
      <c r="D1437" s="14" t="s">
        <v>1322</v>
      </c>
      <c r="E1437" s="14">
        <v>1.0</v>
      </c>
      <c r="F1437" s="14">
        <v>1400.0</v>
      </c>
      <c r="G1437" s="14">
        <v>1400.0</v>
      </c>
      <c r="H1437" s="93"/>
      <c r="I1437" s="93"/>
      <c r="J1437" s="93"/>
      <c r="K1437" s="93"/>
      <c r="L1437" s="93"/>
      <c r="M1437" s="93"/>
      <c r="N1437" s="93"/>
      <c r="O1437" s="93"/>
      <c r="P1437" s="93"/>
      <c r="Q1437" s="93"/>
      <c r="R1437" s="93"/>
      <c r="S1437" s="93"/>
      <c r="T1437" s="93"/>
      <c r="U1437" s="93"/>
      <c r="V1437" s="93"/>
      <c r="W1437" s="93"/>
      <c r="X1437" s="93"/>
      <c r="Y1437" s="93"/>
      <c r="Z1437" s="93"/>
      <c r="AA1437" s="93"/>
    </row>
    <row r="1438">
      <c r="A1438" s="93"/>
      <c r="B1438" s="93"/>
      <c r="C1438" s="14"/>
      <c r="D1438" s="14"/>
      <c r="E1438" s="14"/>
      <c r="F1438" s="14"/>
      <c r="G1438" s="93"/>
      <c r="H1438" s="93"/>
      <c r="I1438" s="93"/>
      <c r="J1438" s="93"/>
      <c r="K1438" s="93"/>
      <c r="L1438" s="93"/>
      <c r="M1438" s="93"/>
      <c r="N1438" s="93"/>
      <c r="O1438" s="93"/>
      <c r="P1438" s="93"/>
      <c r="Q1438" s="93"/>
      <c r="R1438" s="93"/>
      <c r="S1438" s="93"/>
      <c r="T1438" s="93"/>
      <c r="U1438" s="93"/>
      <c r="V1438" s="93"/>
      <c r="W1438" s="93"/>
      <c r="X1438" s="93"/>
      <c r="Y1438" s="93"/>
      <c r="Z1438" s="93"/>
      <c r="AA1438" s="93"/>
    </row>
    <row r="1439">
      <c r="B1439" s="13" t="s">
        <v>757</v>
      </c>
      <c r="C1439" s="79" t="s">
        <v>1364</v>
      </c>
      <c r="D1439" s="13" t="s">
        <v>1365</v>
      </c>
      <c r="E1439" s="13" t="s">
        <v>434</v>
      </c>
      <c r="F1439" s="13">
        <v>4400.0</v>
      </c>
      <c r="G1439" s="32">
        <f>3*F1439</f>
        <v>13200</v>
      </c>
    </row>
    <row r="1440">
      <c r="D1440" s="13"/>
      <c r="E1440" s="13"/>
      <c r="F1440" s="13"/>
    </row>
    <row r="1441">
      <c r="D1441" s="13"/>
      <c r="E1441" s="13"/>
      <c r="F1441" s="13"/>
    </row>
    <row r="1442">
      <c r="B1442" s="13" t="s">
        <v>792</v>
      </c>
      <c r="C1442" s="79" t="s">
        <v>1366</v>
      </c>
      <c r="D1442" s="13" t="s">
        <v>1270</v>
      </c>
      <c r="E1442" s="13" t="s">
        <v>426</v>
      </c>
      <c r="F1442" s="19">
        <v>16000.0</v>
      </c>
      <c r="G1442" s="19">
        <v>16000.0</v>
      </c>
    </row>
    <row r="1443">
      <c r="D1443" s="13"/>
      <c r="E1443" s="13"/>
      <c r="F1443" s="13"/>
    </row>
    <row r="1444">
      <c r="D1444" s="13"/>
      <c r="E1444" s="13"/>
      <c r="F1444" s="13"/>
    </row>
    <row r="1445">
      <c r="B1445" s="13" t="s">
        <v>792</v>
      </c>
      <c r="C1445" s="79" t="s">
        <v>1367</v>
      </c>
      <c r="F1445" s="19"/>
      <c r="G1445" s="19"/>
    </row>
    <row r="1446">
      <c r="D1446" s="13" t="s">
        <v>1368</v>
      </c>
      <c r="E1446" s="13" t="s">
        <v>426</v>
      </c>
      <c r="F1446" s="13">
        <v>5000.0</v>
      </c>
      <c r="G1446" s="13">
        <v>5000.0</v>
      </c>
    </row>
    <row r="1447">
      <c r="D1447" s="13"/>
      <c r="E1447" s="13"/>
      <c r="F1447" s="13"/>
      <c r="H1447" s="32">
        <f>515470-446980</f>
        <v>68490</v>
      </c>
    </row>
    <row r="1448">
      <c r="D1448" s="13"/>
      <c r="E1448" s="13"/>
      <c r="F1448" s="13"/>
    </row>
    <row r="1449">
      <c r="A1449" s="78">
        <v>45900.0</v>
      </c>
      <c r="D1449" s="13"/>
      <c r="E1449" s="13"/>
      <c r="F1449" s="13"/>
    </row>
    <row r="1450">
      <c r="B1450" s="13" t="s">
        <v>757</v>
      </c>
      <c r="C1450" s="79" t="s">
        <v>1369</v>
      </c>
      <c r="D1450" s="13" t="s">
        <v>1357</v>
      </c>
      <c r="E1450" s="13" t="s">
        <v>426</v>
      </c>
      <c r="F1450" s="19">
        <v>15000.0</v>
      </c>
      <c r="G1450" s="13">
        <v>15000.0</v>
      </c>
    </row>
    <row r="1451">
      <c r="D1451" s="13" t="s">
        <v>908</v>
      </c>
      <c r="E1451" s="13" t="s">
        <v>727</v>
      </c>
      <c r="F1451" s="13">
        <v>4500.0</v>
      </c>
      <c r="G1451" s="13">
        <v>4500.0</v>
      </c>
    </row>
    <row r="1452">
      <c r="D1452" s="13"/>
      <c r="E1452" s="13"/>
      <c r="F1452" s="13"/>
    </row>
    <row r="1453">
      <c r="D1453" s="13"/>
      <c r="E1453" s="13"/>
      <c r="F1453" s="13"/>
    </row>
    <row r="1454">
      <c r="B1454" s="13" t="s">
        <v>757</v>
      </c>
      <c r="C1454" s="79" t="s">
        <v>1370</v>
      </c>
      <c r="D1454" s="13" t="s">
        <v>1041</v>
      </c>
      <c r="E1454" s="13" t="s">
        <v>426</v>
      </c>
      <c r="F1454" s="19">
        <v>11100.0</v>
      </c>
      <c r="G1454" s="13">
        <v>11100.0</v>
      </c>
    </row>
    <row r="1455">
      <c r="D1455" s="13"/>
      <c r="E1455" s="13"/>
      <c r="F1455" s="13"/>
    </row>
    <row r="1456">
      <c r="B1456" s="13" t="s">
        <v>757</v>
      </c>
      <c r="C1456" s="79" t="s">
        <v>1367</v>
      </c>
      <c r="D1456" s="13" t="s">
        <v>780</v>
      </c>
      <c r="E1456" s="13" t="s">
        <v>426</v>
      </c>
      <c r="F1456" s="19">
        <v>12000.0</v>
      </c>
      <c r="G1456" s="13">
        <v>12000.0</v>
      </c>
    </row>
    <row r="1457">
      <c r="D1457" s="13"/>
      <c r="E1457" s="13"/>
      <c r="F1457" s="13"/>
    </row>
    <row r="1458">
      <c r="B1458" s="13" t="s">
        <v>928</v>
      </c>
      <c r="C1458" s="79" t="s">
        <v>1371</v>
      </c>
      <c r="D1458" s="13" t="s">
        <v>1372</v>
      </c>
      <c r="E1458" s="13" t="s">
        <v>426</v>
      </c>
      <c r="F1458" s="13">
        <v>3000.0</v>
      </c>
      <c r="G1458" s="13">
        <v>3000.0</v>
      </c>
    </row>
    <row r="1459">
      <c r="D1459" s="13" t="s">
        <v>1373</v>
      </c>
      <c r="E1459" s="13">
        <v>1.0</v>
      </c>
      <c r="F1459" s="13">
        <v>3500.0</v>
      </c>
      <c r="G1459" s="13">
        <v>3500.0</v>
      </c>
    </row>
    <row r="1460">
      <c r="D1460" s="13" t="s">
        <v>1374</v>
      </c>
      <c r="E1460" s="13" t="s">
        <v>1375</v>
      </c>
      <c r="F1460" s="19">
        <v>17500.0</v>
      </c>
      <c r="G1460" s="13">
        <v>17500.0</v>
      </c>
    </row>
    <row r="1461">
      <c r="D1461" s="13" t="s">
        <v>1376</v>
      </c>
      <c r="E1461" s="13">
        <v>1.0</v>
      </c>
      <c r="F1461" s="13">
        <v>5700.0</v>
      </c>
      <c r="G1461" s="13">
        <v>5700.0</v>
      </c>
    </row>
    <row r="1462">
      <c r="D1462" s="13"/>
      <c r="E1462" s="13"/>
      <c r="F1462" s="13"/>
    </row>
    <row r="1463">
      <c r="B1463" s="13" t="s">
        <v>757</v>
      </c>
      <c r="C1463" s="79" t="s">
        <v>1377</v>
      </c>
      <c r="D1463" s="13" t="s">
        <v>1378</v>
      </c>
      <c r="E1463" s="13">
        <v>1.0</v>
      </c>
      <c r="F1463" s="13">
        <v>3000.0</v>
      </c>
      <c r="G1463" s="13">
        <v>3000.0</v>
      </c>
    </row>
    <row r="1464">
      <c r="D1464" s="13"/>
      <c r="E1464" s="13"/>
      <c r="F1464" s="13"/>
    </row>
    <row r="1465">
      <c r="B1465" s="13" t="s">
        <v>757</v>
      </c>
      <c r="C1465" s="79" t="s">
        <v>1379</v>
      </c>
      <c r="D1465" s="13" t="s">
        <v>1150</v>
      </c>
      <c r="E1465" s="13" t="s">
        <v>426</v>
      </c>
      <c r="F1465" s="19">
        <v>20000.0</v>
      </c>
      <c r="G1465" s="13">
        <v>20000.0</v>
      </c>
    </row>
    <row r="1466">
      <c r="D1466" s="13" t="s">
        <v>437</v>
      </c>
      <c r="E1466" s="13" t="s">
        <v>426</v>
      </c>
      <c r="F1466" s="19">
        <v>10100.0</v>
      </c>
      <c r="G1466" s="13">
        <v>10100.0</v>
      </c>
    </row>
    <row r="1467">
      <c r="D1467" s="13" t="s">
        <v>1275</v>
      </c>
      <c r="E1467" s="13" t="s">
        <v>426</v>
      </c>
      <c r="F1467" s="13">
        <v>16000.0</v>
      </c>
      <c r="G1467" s="13">
        <v>16000.0</v>
      </c>
    </row>
    <row r="1468">
      <c r="D1468" s="13"/>
      <c r="E1468" s="13"/>
      <c r="F1468" s="13"/>
    </row>
    <row r="1469">
      <c r="B1469" s="13" t="s">
        <v>967</v>
      </c>
      <c r="C1469" s="79" t="s">
        <v>466</v>
      </c>
      <c r="D1469" s="13" t="s">
        <v>551</v>
      </c>
      <c r="E1469" s="13" t="s">
        <v>426</v>
      </c>
      <c r="F1469" s="13"/>
      <c r="G1469" s="13">
        <v>20000.0</v>
      </c>
    </row>
    <row r="1470">
      <c r="D1470" s="13" t="s">
        <v>822</v>
      </c>
      <c r="E1470" s="13" t="s">
        <v>426</v>
      </c>
      <c r="F1470" s="13"/>
      <c r="G1470" s="13">
        <v>15000.0</v>
      </c>
    </row>
    <row r="1471">
      <c r="D1471" s="13" t="s">
        <v>630</v>
      </c>
      <c r="E1471" s="13" t="s">
        <v>426</v>
      </c>
      <c r="F1471" s="13"/>
      <c r="G1471" s="13">
        <v>8000.0</v>
      </c>
    </row>
    <row r="1472">
      <c r="D1472" s="13"/>
      <c r="E1472" s="13"/>
      <c r="F1472" s="13"/>
    </row>
    <row r="1473">
      <c r="B1473" s="13" t="s">
        <v>967</v>
      </c>
      <c r="C1473" s="79" t="s">
        <v>472</v>
      </c>
      <c r="D1473" s="13" t="s">
        <v>558</v>
      </c>
      <c r="E1473" s="13" t="s">
        <v>429</v>
      </c>
      <c r="F1473" s="13">
        <v>4400.0</v>
      </c>
      <c r="G1473" s="32">
        <f>2*F1473</f>
        <v>8800</v>
      </c>
    </row>
    <row r="1474">
      <c r="D1474" s="13" t="s">
        <v>607</v>
      </c>
      <c r="E1474" s="13" t="s">
        <v>426</v>
      </c>
      <c r="F1474" s="13">
        <v>7400.0</v>
      </c>
      <c r="G1474" s="13">
        <v>7400.0</v>
      </c>
    </row>
    <row r="1475">
      <c r="D1475" s="13" t="s">
        <v>1326</v>
      </c>
      <c r="E1475" s="13" t="s">
        <v>426</v>
      </c>
      <c r="F1475" s="13">
        <v>3000.0</v>
      </c>
      <c r="G1475" s="13">
        <v>3000.0</v>
      </c>
    </row>
    <row r="1476">
      <c r="D1476" s="13" t="s">
        <v>1380</v>
      </c>
      <c r="E1476" s="13">
        <v>1.0</v>
      </c>
      <c r="F1476" s="13">
        <v>2500.0</v>
      </c>
      <c r="G1476" s="13">
        <v>2500.0</v>
      </c>
    </row>
    <row r="1477">
      <c r="D1477" s="13"/>
      <c r="E1477" s="13"/>
      <c r="F1477" s="13"/>
    </row>
    <row r="1478">
      <c r="B1478" s="13" t="s">
        <v>1081</v>
      </c>
      <c r="C1478" s="79" t="s">
        <v>935</v>
      </c>
      <c r="D1478" s="13" t="s">
        <v>1321</v>
      </c>
      <c r="E1478" s="13" t="s">
        <v>426</v>
      </c>
      <c r="F1478" s="13">
        <v>13000.0</v>
      </c>
      <c r="G1478" s="13">
        <v>13000.0</v>
      </c>
    </row>
    <row r="1479">
      <c r="D1479" s="13" t="s">
        <v>908</v>
      </c>
      <c r="E1479" s="13" t="s">
        <v>426</v>
      </c>
      <c r="F1479" s="13">
        <v>7500.0</v>
      </c>
      <c r="G1479" s="13">
        <v>7500.0</v>
      </c>
    </row>
    <row r="1480">
      <c r="D1480" s="13"/>
      <c r="E1480" s="13"/>
      <c r="F1480" s="13"/>
    </row>
    <row r="1481">
      <c r="B1481" s="13" t="s">
        <v>645</v>
      </c>
      <c r="C1481" s="79" t="s">
        <v>1381</v>
      </c>
      <c r="D1481" s="13" t="s">
        <v>964</v>
      </c>
      <c r="E1481" s="13" t="s">
        <v>426</v>
      </c>
      <c r="F1481" s="13">
        <v>7000.0</v>
      </c>
      <c r="G1481" s="13">
        <v>7000.0</v>
      </c>
    </row>
    <row r="1482">
      <c r="D1482" s="13" t="s">
        <v>630</v>
      </c>
      <c r="E1482" s="13" t="s">
        <v>426</v>
      </c>
      <c r="F1482" s="13">
        <v>10500.0</v>
      </c>
      <c r="G1482" s="13">
        <v>10500.0</v>
      </c>
    </row>
    <row r="1483">
      <c r="D1483" s="13" t="s">
        <v>583</v>
      </c>
      <c r="E1483" s="13" t="s">
        <v>426</v>
      </c>
      <c r="H1483" s="13" t="s">
        <v>1014</v>
      </c>
    </row>
    <row r="1484">
      <c r="D1484" s="13"/>
      <c r="E1484" s="13"/>
      <c r="F1484" s="13"/>
    </row>
    <row r="1485">
      <c r="B1485" s="13" t="s">
        <v>757</v>
      </c>
      <c r="C1485" s="79" t="s">
        <v>1382</v>
      </c>
      <c r="D1485" s="13" t="s">
        <v>551</v>
      </c>
      <c r="E1485" s="13" t="s">
        <v>426</v>
      </c>
      <c r="F1485" s="13">
        <v>20000.0</v>
      </c>
      <c r="G1485" s="13">
        <v>20000.0</v>
      </c>
    </row>
    <row r="1486">
      <c r="D1486" s="13" t="s">
        <v>810</v>
      </c>
      <c r="E1486" s="13" t="s">
        <v>426</v>
      </c>
      <c r="F1486" s="13"/>
      <c r="H1486" s="13" t="s">
        <v>1014</v>
      </c>
    </row>
    <row r="1487">
      <c r="D1487" s="13" t="s">
        <v>1128</v>
      </c>
      <c r="E1487" s="13" t="s">
        <v>426</v>
      </c>
      <c r="F1487" s="13">
        <v>15000.0</v>
      </c>
      <c r="G1487" s="13">
        <v>15000.0</v>
      </c>
    </row>
    <row r="1488">
      <c r="D1488" s="13"/>
      <c r="E1488" s="13"/>
      <c r="F1488" s="13"/>
    </row>
    <row r="1489">
      <c r="D1489" s="13"/>
      <c r="E1489" s="13"/>
      <c r="F1489" s="13"/>
    </row>
    <row r="1490">
      <c r="B1490" s="13" t="s">
        <v>757</v>
      </c>
      <c r="C1490" s="79" t="s">
        <v>1383</v>
      </c>
      <c r="D1490" s="13" t="s">
        <v>1384</v>
      </c>
      <c r="E1490" s="13" t="s">
        <v>429</v>
      </c>
      <c r="F1490" s="13">
        <v>4400.0</v>
      </c>
      <c r="G1490" s="32">
        <f>2*F1490</f>
        <v>8800</v>
      </c>
    </row>
    <row r="1491">
      <c r="D1491" s="13" t="s">
        <v>1316</v>
      </c>
      <c r="E1491" s="13" t="s">
        <v>426</v>
      </c>
      <c r="F1491" s="13">
        <v>13000.0</v>
      </c>
      <c r="G1491" s="13">
        <v>13000.0</v>
      </c>
    </row>
    <row r="1492">
      <c r="D1492" s="13" t="s">
        <v>1385</v>
      </c>
      <c r="E1492" s="13" t="s">
        <v>426</v>
      </c>
      <c r="F1492" s="13">
        <v>2300.0</v>
      </c>
      <c r="G1492" s="13">
        <v>2300.0</v>
      </c>
    </row>
    <row r="1493">
      <c r="D1493" s="13"/>
      <c r="E1493" s="13"/>
      <c r="F1493" s="13"/>
    </row>
    <row r="1494">
      <c r="C1494" s="79" t="s">
        <v>1386</v>
      </c>
      <c r="D1494" s="13" t="s">
        <v>1387</v>
      </c>
      <c r="E1494" s="13">
        <v>1.0</v>
      </c>
      <c r="F1494" s="13">
        <v>1700.0</v>
      </c>
      <c r="G1494" s="13">
        <v>1700.0</v>
      </c>
    </row>
    <row r="1495">
      <c r="D1495" s="13" t="s">
        <v>716</v>
      </c>
      <c r="E1495" s="13" t="s">
        <v>426</v>
      </c>
      <c r="F1495" s="13">
        <v>7400.0</v>
      </c>
      <c r="G1495" s="13">
        <v>7400.0</v>
      </c>
    </row>
    <row r="1496">
      <c r="D1496" s="13" t="s">
        <v>955</v>
      </c>
      <c r="E1496" s="13" t="s">
        <v>426</v>
      </c>
      <c r="F1496" s="13">
        <v>6500.0</v>
      </c>
      <c r="G1496" s="13">
        <v>6500.0</v>
      </c>
    </row>
    <row r="1497">
      <c r="D1497" s="13" t="s">
        <v>430</v>
      </c>
      <c r="E1497" s="13" t="s">
        <v>426</v>
      </c>
      <c r="F1497" s="13">
        <v>4400.0</v>
      </c>
      <c r="G1497" s="13">
        <v>4400.0</v>
      </c>
    </row>
    <row r="1498">
      <c r="D1498" s="13"/>
      <c r="E1498" s="13"/>
      <c r="F1498" s="13"/>
    </row>
    <row r="1499">
      <c r="B1499" s="13" t="s">
        <v>757</v>
      </c>
      <c r="C1499" s="79" t="s">
        <v>1388</v>
      </c>
      <c r="D1499" s="13" t="s">
        <v>1011</v>
      </c>
      <c r="E1499" s="13" t="s">
        <v>727</v>
      </c>
      <c r="F1499" s="13">
        <v>4500.0</v>
      </c>
      <c r="G1499" s="13">
        <v>4500.0</v>
      </c>
    </row>
    <row r="1500">
      <c r="D1500" s="13" t="s">
        <v>174</v>
      </c>
      <c r="E1500" s="13">
        <v>1.0</v>
      </c>
      <c r="F1500" s="13">
        <v>2500.0</v>
      </c>
      <c r="G1500" s="13">
        <v>2500.0</v>
      </c>
    </row>
    <row r="1501">
      <c r="D1501" s="13" t="s">
        <v>885</v>
      </c>
      <c r="E1501" s="13" t="s">
        <v>426</v>
      </c>
      <c r="F1501" s="13">
        <v>15000.0</v>
      </c>
      <c r="G1501" s="13">
        <v>15000.0</v>
      </c>
    </row>
    <row r="1502">
      <c r="D1502" s="13"/>
      <c r="E1502" s="13"/>
      <c r="F1502" s="13"/>
    </row>
    <row r="1503">
      <c r="B1503" s="13" t="s">
        <v>645</v>
      </c>
      <c r="C1503" s="79" t="s">
        <v>457</v>
      </c>
      <c r="D1503" s="14" t="s">
        <v>1389</v>
      </c>
      <c r="E1503" s="13" t="s">
        <v>426</v>
      </c>
      <c r="F1503" s="13">
        <v>3000.0</v>
      </c>
      <c r="G1503" s="13">
        <v>3000.0</v>
      </c>
    </row>
    <row r="1504">
      <c r="D1504" s="13" t="s">
        <v>1228</v>
      </c>
      <c r="E1504" s="13" t="s">
        <v>426</v>
      </c>
      <c r="F1504" s="13">
        <v>3000.0</v>
      </c>
      <c r="G1504" s="13">
        <v>3000.0</v>
      </c>
    </row>
    <row r="1505">
      <c r="D1505" s="13" t="s">
        <v>1275</v>
      </c>
      <c r="E1505" s="13" t="s">
        <v>426</v>
      </c>
      <c r="F1505" s="13">
        <v>16000.0</v>
      </c>
      <c r="G1505" s="13">
        <v>16000.0</v>
      </c>
    </row>
    <row r="1506">
      <c r="D1506" s="13" t="s">
        <v>635</v>
      </c>
      <c r="E1506" s="13" t="s">
        <v>1175</v>
      </c>
      <c r="F1506" s="13">
        <v>7500.0</v>
      </c>
      <c r="G1506" s="13">
        <v>7500.0</v>
      </c>
    </row>
    <row r="1507">
      <c r="D1507" s="13" t="s">
        <v>446</v>
      </c>
      <c r="E1507" s="13" t="s">
        <v>426</v>
      </c>
      <c r="F1507" s="13">
        <v>3600.0</v>
      </c>
      <c r="G1507" s="13">
        <v>3600.0</v>
      </c>
    </row>
    <row r="1508">
      <c r="D1508" s="13" t="s">
        <v>659</v>
      </c>
      <c r="E1508" s="13" t="s">
        <v>426</v>
      </c>
      <c r="F1508" s="13">
        <v>3500.0</v>
      </c>
      <c r="G1508" s="13">
        <v>3500.0</v>
      </c>
    </row>
    <row r="1509">
      <c r="D1509" s="13" t="s">
        <v>602</v>
      </c>
      <c r="E1509" s="13" t="s">
        <v>426</v>
      </c>
      <c r="F1509" s="13">
        <v>9000.0</v>
      </c>
      <c r="G1509" s="13">
        <v>9000.0</v>
      </c>
    </row>
    <row r="1510">
      <c r="D1510" s="13" t="s">
        <v>555</v>
      </c>
      <c r="E1510" s="13" t="s">
        <v>426</v>
      </c>
      <c r="F1510" s="13">
        <v>4100.0</v>
      </c>
      <c r="G1510" s="13">
        <v>4100.0</v>
      </c>
    </row>
    <row r="1511">
      <c r="D1511" s="13" t="s">
        <v>558</v>
      </c>
      <c r="E1511" s="13" t="s">
        <v>426</v>
      </c>
      <c r="F1511" s="13">
        <v>4400.0</v>
      </c>
      <c r="G1511" s="13">
        <v>4400.0</v>
      </c>
    </row>
    <row r="1512">
      <c r="D1512" s="13" t="s">
        <v>584</v>
      </c>
      <c r="E1512" s="13">
        <v>1.0</v>
      </c>
      <c r="F1512" s="13">
        <v>2500.0</v>
      </c>
      <c r="G1512" s="13">
        <v>2500.0</v>
      </c>
    </row>
    <row r="1513">
      <c r="D1513" s="13" t="s">
        <v>1390</v>
      </c>
      <c r="E1513" s="13" t="s">
        <v>1039</v>
      </c>
      <c r="F1513" s="13"/>
      <c r="G1513" s="13">
        <v>7500.0</v>
      </c>
    </row>
    <row r="1514">
      <c r="D1514" s="13"/>
      <c r="E1514" s="13"/>
      <c r="F1514" s="13"/>
    </row>
    <row r="1515">
      <c r="D1515" s="13"/>
      <c r="E1515" s="13"/>
      <c r="F1515" s="13"/>
    </row>
    <row r="1516">
      <c r="B1516" s="13" t="s">
        <v>1265</v>
      </c>
      <c r="C1516" s="79" t="s">
        <v>456</v>
      </c>
      <c r="D1516" s="13" t="s">
        <v>822</v>
      </c>
      <c r="E1516" s="13" t="s">
        <v>426</v>
      </c>
      <c r="F1516" s="13"/>
      <c r="G1516" s="13">
        <v>15000.0</v>
      </c>
    </row>
    <row r="1517">
      <c r="D1517" s="13"/>
      <c r="E1517" s="13"/>
      <c r="F1517" s="13"/>
    </row>
    <row r="1518">
      <c r="D1518" s="13"/>
      <c r="E1518" s="13"/>
      <c r="F1518" s="13"/>
    </row>
    <row r="1519">
      <c r="B1519" s="13" t="s">
        <v>967</v>
      </c>
      <c r="C1519" s="79" t="s">
        <v>1391</v>
      </c>
      <c r="D1519" s="13" t="s">
        <v>1392</v>
      </c>
      <c r="E1519" s="13">
        <v>1.0</v>
      </c>
      <c r="F1519" s="13"/>
      <c r="G1519" s="13">
        <v>1700.0</v>
      </c>
    </row>
    <row r="1520">
      <c r="D1520" s="13" t="s">
        <v>1393</v>
      </c>
      <c r="E1520" s="13">
        <v>4.0</v>
      </c>
      <c r="F1520" s="13">
        <v>1300.0</v>
      </c>
      <c r="G1520" s="32">
        <f>4*F1520</f>
        <v>5200</v>
      </c>
    </row>
    <row r="1521">
      <c r="D1521" s="13" t="s">
        <v>1394</v>
      </c>
      <c r="E1521" s="13">
        <v>1.0</v>
      </c>
      <c r="F1521" s="13">
        <v>2000.0</v>
      </c>
      <c r="G1521" s="13">
        <v>2000.0</v>
      </c>
    </row>
    <row r="1522">
      <c r="D1522" s="13" t="s">
        <v>1395</v>
      </c>
      <c r="E1522" s="13">
        <v>1.0</v>
      </c>
      <c r="F1522" s="13">
        <v>2000.0</v>
      </c>
      <c r="G1522" s="13">
        <v>2000.0</v>
      </c>
    </row>
    <row r="1523">
      <c r="D1523" s="13" t="s">
        <v>1396</v>
      </c>
      <c r="E1523" s="13">
        <v>1.0</v>
      </c>
      <c r="F1523" s="13"/>
      <c r="H1523" s="13" t="s">
        <v>1014</v>
      </c>
    </row>
    <row r="1524">
      <c r="D1524" s="13" t="s">
        <v>1397</v>
      </c>
      <c r="E1524" s="13">
        <v>1.0</v>
      </c>
      <c r="F1524" s="13">
        <v>2000.0</v>
      </c>
      <c r="G1524" s="13">
        <v>2000.0</v>
      </c>
    </row>
    <row r="1525">
      <c r="D1525" s="13" t="s">
        <v>1398</v>
      </c>
      <c r="E1525" s="13">
        <v>1.0</v>
      </c>
      <c r="F1525" s="13">
        <v>1400.0</v>
      </c>
      <c r="G1525" s="13">
        <v>1400.0</v>
      </c>
    </row>
    <row r="1526">
      <c r="D1526" s="13" t="s">
        <v>1399</v>
      </c>
      <c r="E1526" s="13">
        <v>2.0</v>
      </c>
      <c r="F1526" s="13"/>
      <c r="H1526" s="13" t="s">
        <v>1014</v>
      </c>
    </row>
    <row r="1527">
      <c r="D1527" s="13" t="s">
        <v>555</v>
      </c>
      <c r="E1527" s="13" t="s">
        <v>426</v>
      </c>
      <c r="F1527" s="13">
        <v>4100.0</v>
      </c>
      <c r="G1527" s="13">
        <v>4100.0</v>
      </c>
    </row>
    <row r="1528">
      <c r="B1528" s="13" t="s">
        <v>514</v>
      </c>
      <c r="D1528" s="13"/>
      <c r="E1528" s="13"/>
      <c r="F1528" s="13"/>
    </row>
    <row r="1529">
      <c r="D1529" s="13"/>
      <c r="E1529" s="13"/>
      <c r="F1529" s="13"/>
    </row>
    <row r="1530">
      <c r="B1530" s="13" t="s">
        <v>967</v>
      </c>
      <c r="C1530" s="79" t="s">
        <v>1400</v>
      </c>
      <c r="D1530" s="13" t="s">
        <v>1401</v>
      </c>
      <c r="E1530" s="13">
        <v>4.0</v>
      </c>
      <c r="F1530" s="13">
        <v>1600.0</v>
      </c>
      <c r="G1530" s="32">
        <f>4*1600</f>
        <v>6400</v>
      </c>
    </row>
    <row r="1531">
      <c r="D1531" s="13"/>
      <c r="E1531" s="13"/>
      <c r="F1531" s="13"/>
    </row>
    <row r="1532">
      <c r="D1532" s="13"/>
      <c r="E1532" s="13"/>
      <c r="F1532" s="13"/>
    </row>
    <row r="1533">
      <c r="B1533" s="13" t="s">
        <v>743</v>
      </c>
      <c r="C1533" s="56" t="s">
        <v>714</v>
      </c>
      <c r="D1533" s="56" t="s">
        <v>1402</v>
      </c>
      <c r="E1533" s="56">
        <v>1.0</v>
      </c>
      <c r="F1533" s="56"/>
      <c r="G1533" s="99"/>
      <c r="H1533" s="13" t="s">
        <v>1014</v>
      </c>
    </row>
    <row r="1534">
      <c r="C1534" s="99"/>
      <c r="D1534" s="56" t="s">
        <v>1403</v>
      </c>
      <c r="E1534" s="56">
        <v>1.0</v>
      </c>
      <c r="F1534" s="56"/>
      <c r="G1534" s="56">
        <v>1900.0</v>
      </c>
    </row>
    <row r="1535">
      <c r="C1535" s="99"/>
      <c r="D1535" s="56" t="s">
        <v>662</v>
      </c>
      <c r="E1535" s="56">
        <v>1.0</v>
      </c>
      <c r="F1535" s="56"/>
      <c r="G1535" s="56">
        <v>640.0</v>
      </c>
    </row>
    <row r="1536">
      <c r="C1536" s="99"/>
      <c r="D1536" s="56" t="s">
        <v>1394</v>
      </c>
      <c r="E1536" s="56">
        <v>2.0</v>
      </c>
      <c r="F1536" s="56">
        <v>1430.0</v>
      </c>
      <c r="G1536" s="99">
        <f>2*F1536</f>
        <v>2860</v>
      </c>
    </row>
    <row r="1537">
      <c r="C1537" s="99"/>
      <c r="D1537" s="56" t="s">
        <v>1192</v>
      </c>
      <c r="E1537" s="56" t="s">
        <v>426</v>
      </c>
      <c r="F1537" s="56">
        <v>5400.0</v>
      </c>
      <c r="G1537" s="56">
        <v>5400.0</v>
      </c>
    </row>
    <row r="1538">
      <c r="C1538" s="99"/>
      <c r="D1538" s="56" t="s">
        <v>781</v>
      </c>
      <c r="E1538" s="56" t="s">
        <v>426</v>
      </c>
      <c r="F1538" s="56">
        <v>5400.0</v>
      </c>
      <c r="G1538" s="56">
        <v>5400.0</v>
      </c>
    </row>
    <row r="1539">
      <c r="D1539" s="13"/>
      <c r="E1539" s="13"/>
      <c r="F1539" s="13"/>
    </row>
    <row r="1540">
      <c r="C1540" s="14"/>
    </row>
    <row r="1541">
      <c r="D1541" s="13"/>
      <c r="E1541" s="13"/>
      <c r="F1541" s="13"/>
    </row>
    <row r="1542">
      <c r="D1542" s="13"/>
      <c r="E1542" s="13"/>
      <c r="F1542" s="13"/>
    </row>
    <row r="1543">
      <c r="C1543" s="79" t="s">
        <v>1404</v>
      </c>
      <c r="D1543" s="13" t="s">
        <v>824</v>
      </c>
      <c r="E1543" s="13" t="s">
        <v>429</v>
      </c>
      <c r="F1543" s="13">
        <v>11100.0</v>
      </c>
      <c r="G1543" s="32">
        <f t="shared" ref="G1543:G1544" si="1">2*F1543</f>
        <v>22200</v>
      </c>
    </row>
    <row r="1544">
      <c r="D1544" s="13" t="s">
        <v>1258</v>
      </c>
      <c r="E1544" s="13" t="s">
        <v>429</v>
      </c>
      <c r="F1544" s="13">
        <v>7700.0</v>
      </c>
      <c r="G1544" s="32">
        <f t="shared" si="1"/>
        <v>15400</v>
      </c>
    </row>
    <row r="1545">
      <c r="D1545" s="13" t="s">
        <v>586</v>
      </c>
      <c r="E1545" s="13" t="s">
        <v>426</v>
      </c>
      <c r="F1545" s="13">
        <v>7000.0</v>
      </c>
      <c r="G1545" s="13">
        <v>7000.0</v>
      </c>
    </row>
    <row r="1546">
      <c r="D1546" s="13"/>
      <c r="E1546" s="13"/>
      <c r="F1546" s="13"/>
    </row>
    <row r="1547">
      <c r="D1547" s="13"/>
      <c r="E1547" s="13"/>
      <c r="F1547" s="13"/>
    </row>
    <row r="1548">
      <c r="B1548" s="13" t="s">
        <v>967</v>
      </c>
      <c r="C1548" s="79" t="s">
        <v>1138</v>
      </c>
      <c r="D1548" s="13" t="s">
        <v>558</v>
      </c>
      <c r="E1548" s="13" t="s">
        <v>434</v>
      </c>
      <c r="F1548" s="13">
        <v>4400.0</v>
      </c>
      <c r="G1548" s="32">
        <f>3*F1548</f>
        <v>13200</v>
      </c>
    </row>
    <row r="1549">
      <c r="D1549" s="13" t="s">
        <v>732</v>
      </c>
      <c r="E1549" s="13" t="s">
        <v>429</v>
      </c>
      <c r="F1549" s="13">
        <v>12000.0</v>
      </c>
      <c r="G1549" s="32">
        <f>2*F1549</f>
        <v>24000</v>
      </c>
    </row>
    <row r="1550">
      <c r="D1550" s="13" t="s">
        <v>1405</v>
      </c>
      <c r="E1550" s="13">
        <v>1.0</v>
      </c>
      <c r="F1550" s="13">
        <v>3500.0</v>
      </c>
      <c r="G1550" s="13">
        <v>3500.0</v>
      </c>
    </row>
    <row r="1551">
      <c r="D1551" s="13" t="s">
        <v>446</v>
      </c>
      <c r="E1551" s="13" t="s">
        <v>426</v>
      </c>
      <c r="F1551" s="13">
        <v>3600.0</v>
      </c>
      <c r="G1551" s="13">
        <v>3600.0</v>
      </c>
    </row>
    <row r="1552">
      <c r="D1552" s="13" t="s">
        <v>584</v>
      </c>
      <c r="E1552" s="13">
        <v>2.0</v>
      </c>
      <c r="F1552" s="13">
        <v>2500.0</v>
      </c>
      <c r="G1552" s="32">
        <f>2*F1552</f>
        <v>5000</v>
      </c>
    </row>
    <row r="1553">
      <c r="D1553" s="13" t="s">
        <v>443</v>
      </c>
      <c r="E1553" s="13" t="s">
        <v>426</v>
      </c>
      <c r="F1553" s="13">
        <v>16000.0</v>
      </c>
      <c r="G1553" s="13">
        <v>16000.0</v>
      </c>
    </row>
    <row r="1554">
      <c r="D1554" s="13" t="s">
        <v>591</v>
      </c>
      <c r="E1554" s="13">
        <v>1.0</v>
      </c>
      <c r="F1554" s="13">
        <v>9400.0</v>
      </c>
      <c r="G1554" s="13">
        <v>9400.0</v>
      </c>
    </row>
    <row r="1555">
      <c r="D1555" s="13"/>
      <c r="E1555" s="13"/>
      <c r="F1555" s="13"/>
    </row>
    <row r="1556">
      <c r="D1556" s="13"/>
      <c r="E1556" s="13"/>
      <c r="F1556" s="13"/>
    </row>
    <row r="1557">
      <c r="B1557" s="13" t="s">
        <v>1406</v>
      </c>
      <c r="C1557" s="79" t="s">
        <v>1407</v>
      </c>
      <c r="D1557" s="13" t="s">
        <v>1408</v>
      </c>
      <c r="E1557" s="13" t="s">
        <v>434</v>
      </c>
      <c r="F1557" s="13">
        <v>4400.0</v>
      </c>
      <c r="G1557" s="32">
        <f>3*F1557</f>
        <v>13200</v>
      </c>
    </row>
    <row r="1558">
      <c r="D1558" s="13" t="s">
        <v>934</v>
      </c>
      <c r="E1558" s="13">
        <v>1.0</v>
      </c>
      <c r="F1558" s="13">
        <v>9400.0</v>
      </c>
      <c r="G1558" s="13">
        <v>9400.0</v>
      </c>
    </row>
    <row r="1559">
      <c r="D1559" s="13" t="s">
        <v>955</v>
      </c>
      <c r="E1559" s="13" t="s">
        <v>429</v>
      </c>
      <c r="F1559" s="13">
        <v>6500.0</v>
      </c>
      <c r="G1559" s="32">
        <f>2*F1559</f>
        <v>13000</v>
      </c>
    </row>
    <row r="1560">
      <c r="D1560" s="13"/>
      <c r="E1560" s="13"/>
      <c r="F1560" s="13"/>
    </row>
    <row r="1561">
      <c r="B1561" s="13" t="s">
        <v>967</v>
      </c>
      <c r="C1561" s="79" t="s">
        <v>1409</v>
      </c>
      <c r="D1561" s="13" t="s">
        <v>732</v>
      </c>
      <c r="E1561" s="84">
        <v>45689.0</v>
      </c>
      <c r="H1561" s="13" t="s">
        <v>1014</v>
      </c>
    </row>
    <row r="1562">
      <c r="D1562" s="13" t="s">
        <v>606</v>
      </c>
      <c r="E1562" s="84">
        <v>45689.0</v>
      </c>
      <c r="F1562" s="13">
        <v>2850.0</v>
      </c>
      <c r="G1562" s="13">
        <v>2850.0</v>
      </c>
    </row>
    <row r="1563">
      <c r="D1563" s="13" t="s">
        <v>908</v>
      </c>
      <c r="E1563" s="84">
        <v>45689.0</v>
      </c>
      <c r="F1563" s="13">
        <v>3750.0</v>
      </c>
      <c r="G1563" s="13">
        <v>3750.0</v>
      </c>
    </row>
    <row r="1564">
      <c r="D1564" s="13" t="s">
        <v>630</v>
      </c>
      <c r="E1564" s="84">
        <v>45689.0</v>
      </c>
      <c r="F1564" s="13">
        <v>4000.0</v>
      </c>
      <c r="G1564" s="13">
        <v>4000.0</v>
      </c>
    </row>
    <row r="1565">
      <c r="D1565" s="13" t="s">
        <v>758</v>
      </c>
      <c r="E1565" s="84">
        <v>45689.0</v>
      </c>
      <c r="F1565" s="13">
        <v>2200.0</v>
      </c>
      <c r="G1565" s="13">
        <v>2200.0</v>
      </c>
    </row>
    <row r="1566">
      <c r="D1566" s="13" t="s">
        <v>446</v>
      </c>
      <c r="E1566" s="84">
        <v>45689.0</v>
      </c>
      <c r="F1566" s="13">
        <v>1800.0</v>
      </c>
      <c r="G1566" s="13">
        <v>1800.0</v>
      </c>
    </row>
    <row r="1567">
      <c r="D1567" s="13" t="s">
        <v>584</v>
      </c>
      <c r="E1567" s="13">
        <v>1.0</v>
      </c>
      <c r="F1567" s="13">
        <v>2500.0</v>
      </c>
      <c r="G1567" s="13">
        <v>2500.0</v>
      </c>
    </row>
    <row r="1568">
      <c r="D1568" s="13" t="s">
        <v>1410</v>
      </c>
      <c r="E1568" s="13">
        <v>1.0</v>
      </c>
      <c r="F1568" s="13">
        <v>3500.0</v>
      </c>
      <c r="G1568" s="13">
        <v>3500.0</v>
      </c>
    </row>
    <row r="1569">
      <c r="D1569" s="13"/>
      <c r="E1569" s="13"/>
      <c r="F1569" s="13"/>
    </row>
    <row r="1570">
      <c r="D1570" s="13"/>
      <c r="E1570" s="13"/>
      <c r="F1570" s="13"/>
    </row>
    <row r="1571">
      <c r="B1571" s="13" t="s">
        <v>967</v>
      </c>
      <c r="C1571" s="79" t="s">
        <v>1411</v>
      </c>
      <c r="D1571" s="13" t="s">
        <v>447</v>
      </c>
      <c r="E1571" s="13">
        <v>1.0</v>
      </c>
      <c r="F1571" s="13">
        <v>13700.0</v>
      </c>
      <c r="G1571" s="13">
        <v>13700.0</v>
      </c>
    </row>
    <row r="1572">
      <c r="D1572" s="13" t="s">
        <v>558</v>
      </c>
      <c r="E1572" s="13"/>
      <c r="F1572" s="13">
        <v>4400.0</v>
      </c>
      <c r="G1572" s="13">
        <v>4400.0</v>
      </c>
    </row>
    <row r="1573">
      <c r="C1573" s="14"/>
      <c r="D1573" s="13"/>
      <c r="E1573" s="13"/>
      <c r="F1573" s="13"/>
    </row>
    <row r="1574">
      <c r="C1574" s="14"/>
      <c r="D1574" s="13"/>
      <c r="E1574" s="13"/>
      <c r="F1574" s="13"/>
    </row>
    <row r="1575">
      <c r="C1575" s="79" t="s">
        <v>542</v>
      </c>
      <c r="D1575" s="13" t="s">
        <v>444</v>
      </c>
      <c r="E1575" s="13" t="s">
        <v>426</v>
      </c>
      <c r="F1575" s="13">
        <v>9000.0</v>
      </c>
      <c r="G1575" s="13">
        <v>9000.0</v>
      </c>
    </row>
    <row r="1576">
      <c r="E1576" s="84"/>
      <c r="F1576" s="13"/>
    </row>
    <row r="1577">
      <c r="D1577" s="13" t="s">
        <v>606</v>
      </c>
      <c r="E1577" s="84">
        <v>45689.0</v>
      </c>
      <c r="F1577" s="13">
        <v>2350.0</v>
      </c>
      <c r="G1577" s="13">
        <v>2350.0</v>
      </c>
    </row>
    <row r="1578">
      <c r="D1578" s="13" t="s">
        <v>758</v>
      </c>
      <c r="E1578" s="13" t="s">
        <v>426</v>
      </c>
      <c r="F1578" s="13">
        <v>3300.0</v>
      </c>
      <c r="G1578" s="13">
        <v>3300.0</v>
      </c>
    </row>
    <row r="1579">
      <c r="D1579" s="13" t="s">
        <v>446</v>
      </c>
      <c r="E1579" s="84">
        <v>45689.0</v>
      </c>
      <c r="F1579" s="13">
        <v>1500.0</v>
      </c>
      <c r="G1579" s="13">
        <v>1500.0</v>
      </c>
    </row>
    <row r="1580">
      <c r="D1580" s="13"/>
      <c r="E1580" s="13"/>
      <c r="F1580" s="13"/>
      <c r="H1580" s="32">
        <f>701950-595000</f>
        <v>106950</v>
      </c>
    </row>
    <row r="1581">
      <c r="B1581" s="13" t="s">
        <v>967</v>
      </c>
      <c r="C1581" s="79" t="s">
        <v>1412</v>
      </c>
      <c r="D1581" s="13" t="s">
        <v>732</v>
      </c>
      <c r="E1581" s="13" t="s">
        <v>426</v>
      </c>
      <c r="F1581" s="13">
        <v>12000.0</v>
      </c>
      <c r="G1581" s="13">
        <v>12000.0</v>
      </c>
    </row>
    <row r="1582">
      <c r="D1582" s="13"/>
      <c r="E1582" s="13"/>
      <c r="F1582" s="13"/>
    </row>
    <row r="1583">
      <c r="D1583" s="13"/>
      <c r="E1583" s="13"/>
      <c r="F1583" s="13"/>
    </row>
    <row r="1584">
      <c r="A1584" s="78">
        <v>45907.0</v>
      </c>
      <c r="D1584" s="13"/>
      <c r="E1584" s="13"/>
      <c r="F1584" s="13"/>
    </row>
    <row r="1585">
      <c r="B1585" s="13" t="s">
        <v>757</v>
      </c>
      <c r="C1585" s="79" t="s">
        <v>1413</v>
      </c>
      <c r="D1585" s="13" t="s">
        <v>1414</v>
      </c>
      <c r="E1585" s="13">
        <v>1.0</v>
      </c>
      <c r="F1585" s="13">
        <v>15000.0</v>
      </c>
    </row>
    <row r="1586">
      <c r="D1586" s="13" t="s">
        <v>1415</v>
      </c>
      <c r="E1586" s="13">
        <v>4.0</v>
      </c>
      <c r="F1586" s="13">
        <v>5200.0</v>
      </c>
    </row>
    <row r="1587">
      <c r="D1587" s="13" t="s">
        <v>1416</v>
      </c>
      <c r="E1587" s="13">
        <v>4.0</v>
      </c>
      <c r="F1587" s="13">
        <v>5200.0</v>
      </c>
    </row>
    <row r="1588">
      <c r="D1588" s="13" t="s">
        <v>716</v>
      </c>
      <c r="E1588" s="13" t="s">
        <v>426</v>
      </c>
      <c r="F1588" s="13">
        <v>7400.0</v>
      </c>
    </row>
    <row r="1589">
      <c r="D1589" s="13" t="s">
        <v>446</v>
      </c>
      <c r="E1589" s="13" t="s">
        <v>426</v>
      </c>
      <c r="F1589" s="13">
        <v>3600.0</v>
      </c>
    </row>
    <row r="1590">
      <c r="D1590" s="13" t="s">
        <v>577</v>
      </c>
      <c r="E1590" s="13" t="s">
        <v>426</v>
      </c>
      <c r="F1590" s="13">
        <v>20000.0</v>
      </c>
    </row>
    <row r="1591">
      <c r="D1591" s="13" t="s">
        <v>540</v>
      </c>
      <c r="E1591" s="13" t="s">
        <v>426</v>
      </c>
      <c r="F1591" s="13">
        <v>3000.0</v>
      </c>
    </row>
    <row r="1592">
      <c r="D1592" s="13"/>
      <c r="E1592" s="13"/>
      <c r="F1592" s="13"/>
    </row>
    <row r="1593">
      <c r="C1593" s="79"/>
      <c r="D1593" s="13"/>
      <c r="E1593" s="13"/>
      <c r="F1593" s="13"/>
    </row>
    <row r="1594">
      <c r="D1594" s="13"/>
      <c r="E1594" s="13"/>
      <c r="F1594" s="13"/>
    </row>
    <row r="1595">
      <c r="B1595" s="13" t="s">
        <v>1417</v>
      </c>
      <c r="C1595" s="79" t="s">
        <v>1418</v>
      </c>
      <c r="D1595" s="13" t="s">
        <v>1419</v>
      </c>
      <c r="E1595" s="13" t="s">
        <v>429</v>
      </c>
      <c r="F1595" s="13">
        <v>2500.0</v>
      </c>
      <c r="G1595" s="13">
        <v>5000.0</v>
      </c>
    </row>
    <row r="1596">
      <c r="D1596" s="13"/>
      <c r="E1596" s="13"/>
      <c r="F1596" s="13"/>
    </row>
    <row r="1597">
      <c r="B1597" s="13" t="s">
        <v>1420</v>
      </c>
      <c r="C1597" s="79" t="s">
        <v>1421</v>
      </c>
    </row>
    <row r="1598">
      <c r="D1598" s="13" t="s">
        <v>1422</v>
      </c>
      <c r="E1598" s="13" t="s">
        <v>426</v>
      </c>
      <c r="F1598" s="13">
        <v>16000.0</v>
      </c>
      <c r="G1598" s="13">
        <v>16000.0</v>
      </c>
    </row>
    <row r="1599">
      <c r="D1599" s="13" t="s">
        <v>1245</v>
      </c>
      <c r="E1599" s="13" t="s">
        <v>426</v>
      </c>
      <c r="F1599" s="13">
        <v>4400.0</v>
      </c>
      <c r="G1599" s="13">
        <v>4400.0</v>
      </c>
    </row>
    <row r="1600">
      <c r="D1600" s="13"/>
      <c r="E1600" s="13"/>
      <c r="F1600" s="13"/>
    </row>
    <row r="1601">
      <c r="B1601" s="13" t="s">
        <v>783</v>
      </c>
      <c r="C1601" s="79" t="s">
        <v>1000</v>
      </c>
      <c r="D1601" s="13" t="s">
        <v>1423</v>
      </c>
      <c r="E1601" s="13">
        <v>1.0</v>
      </c>
      <c r="F1601" s="13">
        <v>5800.0</v>
      </c>
    </row>
    <row r="1602">
      <c r="D1602" s="13" t="s">
        <v>444</v>
      </c>
      <c r="E1602" s="13" t="s">
        <v>426</v>
      </c>
      <c r="F1602" s="13">
        <v>11000.0</v>
      </c>
    </row>
    <row r="1603">
      <c r="D1603" s="13" t="s">
        <v>549</v>
      </c>
      <c r="E1603" s="13" t="s">
        <v>426</v>
      </c>
      <c r="F1603" s="13">
        <v>15000.0</v>
      </c>
    </row>
    <row r="1604">
      <c r="D1604" s="13" t="s">
        <v>446</v>
      </c>
      <c r="E1604" s="13" t="s">
        <v>426</v>
      </c>
      <c r="F1604" s="13">
        <v>3600.0</v>
      </c>
    </row>
    <row r="1605">
      <c r="D1605" s="13"/>
      <c r="E1605" s="13"/>
      <c r="F1605" s="13"/>
    </row>
    <row r="1606">
      <c r="B1606" s="13" t="s">
        <v>757</v>
      </c>
      <c r="C1606" s="79" t="s">
        <v>478</v>
      </c>
      <c r="D1606" s="13" t="s">
        <v>865</v>
      </c>
      <c r="E1606" s="13" t="s">
        <v>426</v>
      </c>
      <c r="F1606" s="13">
        <v>20000.0</v>
      </c>
    </row>
    <row r="1607">
      <c r="D1607" s="13" t="s">
        <v>1424</v>
      </c>
      <c r="E1607" s="13" t="s">
        <v>426</v>
      </c>
      <c r="F1607" s="13">
        <v>16000.0</v>
      </c>
    </row>
    <row r="1608">
      <c r="D1608" s="13" t="s">
        <v>1425</v>
      </c>
      <c r="E1608" s="13" t="s">
        <v>426</v>
      </c>
      <c r="F1608" s="13">
        <v>3500.0</v>
      </c>
    </row>
    <row r="1609">
      <c r="D1609" s="13"/>
      <c r="E1609" s="13"/>
      <c r="F1609" s="13"/>
    </row>
    <row r="1610">
      <c r="B1610" s="13" t="s">
        <v>757</v>
      </c>
      <c r="C1610" s="79" t="s">
        <v>1426</v>
      </c>
      <c r="D1610" s="13" t="s">
        <v>438</v>
      </c>
      <c r="E1610" s="13" t="s">
        <v>426</v>
      </c>
      <c r="F1610" s="13">
        <v>5800.0</v>
      </c>
    </row>
    <row r="1611">
      <c r="D1611" s="13" t="s">
        <v>924</v>
      </c>
      <c r="E1611" s="13" t="s">
        <v>426</v>
      </c>
      <c r="F1611" s="13">
        <v>4400.0</v>
      </c>
    </row>
    <row r="1612">
      <c r="D1612" s="13"/>
      <c r="E1612" s="13"/>
      <c r="F1612" s="13"/>
    </row>
    <row r="1613">
      <c r="B1613" s="13" t="s">
        <v>792</v>
      </c>
      <c r="C1613" s="79" t="s">
        <v>1427</v>
      </c>
      <c r="D1613" s="13" t="s">
        <v>1270</v>
      </c>
      <c r="E1613" s="84">
        <v>45689.0</v>
      </c>
      <c r="F1613" s="19">
        <v>8000.0</v>
      </c>
    </row>
    <row r="1614">
      <c r="D1614" s="13" t="s">
        <v>758</v>
      </c>
      <c r="E1614" s="13" t="s">
        <v>426</v>
      </c>
      <c r="F1614" s="19">
        <v>4400.0</v>
      </c>
    </row>
    <row r="1615">
      <c r="D1615" s="13"/>
      <c r="E1615" s="13"/>
      <c r="F1615" s="13"/>
    </row>
    <row r="1616">
      <c r="B1616" s="13" t="s">
        <v>783</v>
      </c>
      <c r="C1616" s="79" t="s">
        <v>1428</v>
      </c>
      <c r="D1616" s="13" t="s">
        <v>911</v>
      </c>
      <c r="E1616" s="13" t="s">
        <v>426</v>
      </c>
      <c r="F1616" s="13">
        <v>12000.0</v>
      </c>
      <c r="G1616" s="13">
        <v>12000.0</v>
      </c>
    </row>
    <row r="1617">
      <c r="D1617" s="13" t="s">
        <v>1042</v>
      </c>
      <c r="E1617" s="13" t="s">
        <v>426</v>
      </c>
      <c r="F1617" s="13">
        <v>7200.0</v>
      </c>
      <c r="G1617" s="13">
        <v>7200.0</v>
      </c>
    </row>
    <row r="1618">
      <c r="D1618" s="13" t="s">
        <v>924</v>
      </c>
      <c r="E1618" s="13" t="s">
        <v>429</v>
      </c>
      <c r="F1618" s="13">
        <v>4400.0</v>
      </c>
      <c r="G1618" s="13">
        <v>8800.0</v>
      </c>
    </row>
    <row r="1619">
      <c r="D1619" s="13"/>
      <c r="E1619" s="13"/>
      <c r="F1619" s="13"/>
    </row>
    <row r="1620">
      <c r="B1620" s="13" t="s">
        <v>783</v>
      </c>
      <c r="C1620" s="79" t="s">
        <v>482</v>
      </c>
      <c r="D1620" s="13" t="s">
        <v>924</v>
      </c>
      <c r="E1620" s="13" t="s">
        <v>434</v>
      </c>
      <c r="F1620" s="13"/>
    </row>
    <row r="1621">
      <c r="D1621" s="13"/>
      <c r="E1621" s="13"/>
      <c r="F1621" s="13"/>
    </row>
    <row r="1622">
      <c r="B1622" s="13" t="s">
        <v>743</v>
      </c>
      <c r="C1622" s="56" t="s">
        <v>714</v>
      </c>
      <c r="D1622" s="56" t="s">
        <v>1244</v>
      </c>
      <c r="E1622" s="56">
        <v>2.0</v>
      </c>
      <c r="F1622" s="56">
        <v>3000.0</v>
      </c>
    </row>
    <row r="1623">
      <c r="C1623" s="99"/>
      <c r="D1623" s="56" t="s">
        <v>1275</v>
      </c>
      <c r="E1623" s="56" t="s">
        <v>727</v>
      </c>
      <c r="F1623" s="56">
        <v>7000.0</v>
      </c>
    </row>
    <row r="1624">
      <c r="D1624" s="13"/>
      <c r="E1624" s="13"/>
      <c r="F1624" s="13"/>
    </row>
    <row r="1625">
      <c r="D1625" s="13"/>
      <c r="E1625" s="13"/>
      <c r="F1625" s="13"/>
    </row>
    <row r="1626">
      <c r="B1626" s="13" t="s">
        <v>783</v>
      </c>
      <c r="C1626" s="83" t="s">
        <v>852</v>
      </c>
      <c r="D1626" s="13" t="s">
        <v>669</v>
      </c>
      <c r="E1626" s="13" t="s">
        <v>426</v>
      </c>
      <c r="F1626" s="13">
        <v>15000.0</v>
      </c>
      <c r="G1626" s="13">
        <v>15000.0</v>
      </c>
    </row>
    <row r="1627">
      <c r="D1627" s="13" t="s">
        <v>1136</v>
      </c>
      <c r="E1627" s="13" t="s">
        <v>727</v>
      </c>
      <c r="F1627" s="13">
        <v>3500.0</v>
      </c>
      <c r="G1627" s="13">
        <v>3500.0</v>
      </c>
    </row>
    <row r="1628">
      <c r="D1628" s="13" t="s">
        <v>644</v>
      </c>
      <c r="E1628" s="13">
        <v>1.0</v>
      </c>
      <c r="F1628" s="13">
        <v>2500.0</v>
      </c>
      <c r="G1628" s="13">
        <v>2500.0</v>
      </c>
    </row>
    <row r="1629">
      <c r="D1629" s="13" t="s">
        <v>1429</v>
      </c>
      <c r="E1629" s="13">
        <v>2.0</v>
      </c>
      <c r="F1629" s="13">
        <v>1200.0</v>
      </c>
      <c r="G1629" s="13">
        <v>2400.0</v>
      </c>
    </row>
    <row r="1630">
      <c r="D1630" s="13" t="s">
        <v>659</v>
      </c>
      <c r="E1630" s="13" t="s">
        <v>426</v>
      </c>
      <c r="F1630" s="13"/>
      <c r="G1630" s="13">
        <v>3500.0</v>
      </c>
    </row>
    <row r="1631">
      <c r="D1631" s="13" t="s">
        <v>1430</v>
      </c>
      <c r="E1631" s="13">
        <v>1.0</v>
      </c>
      <c r="F1631" s="13"/>
      <c r="G1631" s="13">
        <v>10000.0</v>
      </c>
    </row>
    <row r="1632">
      <c r="D1632" s="13"/>
      <c r="E1632" s="13"/>
      <c r="F1632" s="13"/>
    </row>
    <row r="1633">
      <c r="D1633" s="13"/>
      <c r="E1633" s="13"/>
      <c r="F1633" s="13"/>
    </row>
    <row r="1634">
      <c r="A1634" s="78">
        <v>45921.0</v>
      </c>
      <c r="B1634" s="13" t="s">
        <v>757</v>
      </c>
      <c r="C1634" s="79" t="s">
        <v>1431</v>
      </c>
      <c r="D1634" s="13" t="s">
        <v>1118</v>
      </c>
      <c r="E1634" s="13" t="s">
        <v>426</v>
      </c>
      <c r="F1634" s="13">
        <v>3500.0</v>
      </c>
      <c r="G1634" s="13">
        <v>3500.0</v>
      </c>
    </row>
    <row r="1635">
      <c r="D1635" s="13" t="s">
        <v>1432</v>
      </c>
      <c r="E1635" s="13">
        <v>1.0</v>
      </c>
      <c r="F1635" s="13">
        <v>5000.0</v>
      </c>
      <c r="G1635" s="13">
        <v>5000.0</v>
      </c>
    </row>
    <row r="1636">
      <c r="D1636" s="13"/>
      <c r="E1636" s="13"/>
      <c r="F1636" s="13"/>
    </row>
    <row r="1637">
      <c r="B1637" s="13" t="s">
        <v>1433</v>
      </c>
      <c r="C1637" s="79" t="s">
        <v>1434</v>
      </c>
      <c r="D1637" s="13" t="s">
        <v>865</v>
      </c>
      <c r="E1637" s="13" t="s">
        <v>426</v>
      </c>
      <c r="F1637" s="19">
        <v>21300.0</v>
      </c>
      <c r="G1637" s="19">
        <v>21300.0</v>
      </c>
    </row>
    <row r="1638">
      <c r="D1638" s="13" t="s">
        <v>1435</v>
      </c>
      <c r="E1638" s="13" t="s">
        <v>426</v>
      </c>
      <c r="F1638" s="13">
        <v>16000.0</v>
      </c>
      <c r="G1638" s="13">
        <v>16000.0</v>
      </c>
    </row>
    <row r="1639">
      <c r="D1639" s="13"/>
      <c r="E1639" s="13"/>
      <c r="F1639" s="13"/>
    </row>
    <row r="1640">
      <c r="B1640" s="13" t="s">
        <v>1436</v>
      </c>
      <c r="C1640" s="79" t="s">
        <v>1437</v>
      </c>
      <c r="D1640" s="13" t="s">
        <v>885</v>
      </c>
      <c r="E1640" s="13" t="s">
        <v>426</v>
      </c>
      <c r="F1640" s="13">
        <v>15000.0</v>
      </c>
      <c r="G1640" s="13">
        <v>15000.0</v>
      </c>
    </row>
    <row r="1641">
      <c r="D1641" s="13" t="s">
        <v>908</v>
      </c>
      <c r="E1641" s="13" t="s">
        <v>426</v>
      </c>
      <c r="F1641" s="13">
        <v>7500.0</v>
      </c>
      <c r="G1641" s="13">
        <v>7500.0</v>
      </c>
    </row>
    <row r="1642">
      <c r="D1642" s="13" t="s">
        <v>1438</v>
      </c>
      <c r="E1642" s="13">
        <v>1.0</v>
      </c>
      <c r="F1642" s="13">
        <v>5000.0</v>
      </c>
      <c r="G1642" s="13">
        <v>5000.0</v>
      </c>
    </row>
    <row r="1643">
      <c r="D1643" s="13"/>
      <c r="E1643" s="13"/>
      <c r="F1643" s="13"/>
    </row>
    <row r="1644">
      <c r="B1644" s="13" t="s">
        <v>1439</v>
      </c>
      <c r="C1644" s="79" t="s">
        <v>1440</v>
      </c>
      <c r="D1644" s="14" t="s">
        <v>1441</v>
      </c>
      <c r="E1644" s="14" t="s">
        <v>426</v>
      </c>
      <c r="F1644" s="14">
        <v>5000.0</v>
      </c>
      <c r="G1644" s="14">
        <v>5000.0</v>
      </c>
    </row>
    <row r="1645">
      <c r="D1645" s="13"/>
      <c r="E1645" s="13"/>
      <c r="F1645" s="13"/>
    </row>
    <row r="1646">
      <c r="D1646" s="13"/>
      <c r="E1646" s="13"/>
      <c r="F1646" s="13"/>
    </row>
    <row r="1647">
      <c r="B1647" s="13" t="s">
        <v>1442</v>
      </c>
      <c r="C1647" s="79" t="s">
        <v>1443</v>
      </c>
      <c r="D1647" s="13" t="s">
        <v>1444</v>
      </c>
      <c r="E1647" s="13" t="s">
        <v>1045</v>
      </c>
      <c r="F1647" s="13">
        <v>4000.0</v>
      </c>
      <c r="G1647" s="13">
        <v>4000.0</v>
      </c>
    </row>
    <row r="1649">
      <c r="D1649" s="13" t="s">
        <v>1445</v>
      </c>
      <c r="E1649" s="13" t="s">
        <v>1084</v>
      </c>
      <c r="F1649" s="13">
        <v>4000.0</v>
      </c>
      <c r="G1649" s="13">
        <v>4000.0</v>
      </c>
    </row>
    <row r="1650">
      <c r="D1650" s="13"/>
      <c r="E1650" s="13"/>
      <c r="F1650" s="13"/>
    </row>
    <row r="1651">
      <c r="D1651" s="13" t="s">
        <v>1446</v>
      </c>
      <c r="E1651" s="13" t="s">
        <v>426</v>
      </c>
      <c r="F1651" s="13">
        <v>4100.0</v>
      </c>
      <c r="G1651" s="13">
        <v>4100.0</v>
      </c>
    </row>
    <row r="1652">
      <c r="C1652" s="14"/>
      <c r="D1652" s="13"/>
      <c r="E1652" s="13"/>
      <c r="F1652" s="13"/>
    </row>
    <row r="1653">
      <c r="B1653" s="13" t="s">
        <v>1447</v>
      </c>
      <c r="C1653" s="79" t="s">
        <v>1448</v>
      </c>
      <c r="D1653" s="13" t="s">
        <v>533</v>
      </c>
      <c r="E1653" s="13" t="s">
        <v>426</v>
      </c>
      <c r="F1653" s="13">
        <v>3000.0</v>
      </c>
    </row>
    <row r="1654">
      <c r="D1654" s="13" t="s">
        <v>1449</v>
      </c>
      <c r="E1654" s="13" t="s">
        <v>727</v>
      </c>
      <c r="F1654" s="13">
        <v>8300.0</v>
      </c>
    </row>
    <row r="1655">
      <c r="D1655" s="13" t="s">
        <v>687</v>
      </c>
      <c r="E1655" s="13" t="s">
        <v>727</v>
      </c>
      <c r="F1655" s="13">
        <v>1100.0</v>
      </c>
    </row>
    <row r="1656">
      <c r="D1656" s="13" t="s">
        <v>1147</v>
      </c>
      <c r="E1656" s="13" t="s">
        <v>1450</v>
      </c>
      <c r="F1656" s="13">
        <v>3000.0</v>
      </c>
    </row>
    <row r="1657">
      <c r="D1657" s="13" t="s">
        <v>1451</v>
      </c>
      <c r="E1657" s="13" t="s">
        <v>426</v>
      </c>
      <c r="F1657" s="13">
        <v>1500.0</v>
      </c>
    </row>
    <row r="1658">
      <c r="D1658" s="13" t="s">
        <v>571</v>
      </c>
      <c r="E1658" s="13" t="s">
        <v>426</v>
      </c>
      <c r="F1658" s="13">
        <v>2000.0</v>
      </c>
    </row>
    <row r="1659">
      <c r="D1659" s="13" t="s">
        <v>1452</v>
      </c>
      <c r="E1659" s="13" t="s">
        <v>426</v>
      </c>
      <c r="F1659" s="13">
        <v>2300.0</v>
      </c>
    </row>
    <row r="1660">
      <c r="C1660" s="14"/>
      <c r="D1660" s="13"/>
      <c r="E1660" s="13"/>
      <c r="F1660" s="13"/>
      <c r="G1660" s="13"/>
    </row>
    <row r="1661">
      <c r="B1661" s="13" t="s">
        <v>1453</v>
      </c>
      <c r="C1661" s="79" t="s">
        <v>1454</v>
      </c>
      <c r="D1661" s="13" t="s">
        <v>924</v>
      </c>
      <c r="E1661" s="13" t="s">
        <v>1039</v>
      </c>
      <c r="F1661" s="13">
        <v>4400.0</v>
      </c>
      <c r="G1661" s="13">
        <v>22000.0</v>
      </c>
    </row>
    <row r="1662">
      <c r="D1662" s="13" t="s">
        <v>1452</v>
      </c>
      <c r="E1662" s="13" t="s">
        <v>1039</v>
      </c>
      <c r="F1662" s="13">
        <v>11000.0</v>
      </c>
      <c r="G1662" s="13">
        <v>11000.0</v>
      </c>
    </row>
    <row r="1663">
      <c r="B1663" s="13" t="s">
        <v>1455</v>
      </c>
      <c r="C1663" s="98" t="s">
        <v>1456</v>
      </c>
      <c r="D1663" s="13" t="s">
        <v>1457</v>
      </c>
      <c r="E1663" s="13" t="s">
        <v>426</v>
      </c>
      <c r="F1663" s="13">
        <v>12900.0</v>
      </c>
      <c r="G1663" s="13">
        <v>12900.0</v>
      </c>
    </row>
    <row r="1664">
      <c r="D1664" s="13" t="s">
        <v>984</v>
      </c>
      <c r="E1664" s="13">
        <v>2.0</v>
      </c>
      <c r="F1664" s="13">
        <v>3500.0</v>
      </c>
      <c r="G1664" s="13">
        <v>7000.0</v>
      </c>
    </row>
    <row r="1665">
      <c r="D1665" s="13"/>
      <c r="E1665" s="13"/>
      <c r="F1665" s="13"/>
    </row>
    <row r="1666">
      <c r="D1666" s="13"/>
      <c r="E1666" s="13"/>
      <c r="F1666" s="13"/>
    </row>
    <row r="1667">
      <c r="B1667" s="13" t="s">
        <v>1458</v>
      </c>
      <c r="C1667" s="79" t="s">
        <v>1459</v>
      </c>
      <c r="D1667" s="13" t="s">
        <v>1460</v>
      </c>
      <c r="E1667" s="13">
        <v>4.0</v>
      </c>
      <c r="F1667" s="13">
        <v>5000.0</v>
      </c>
      <c r="G1667" s="13">
        <v>20000.0</v>
      </c>
    </row>
    <row r="1668">
      <c r="D1668" s="13" t="s">
        <v>1461</v>
      </c>
      <c r="E1668" s="13" t="s">
        <v>426</v>
      </c>
      <c r="F1668" s="13">
        <v>4100.0</v>
      </c>
      <c r="G1668" s="13">
        <v>4100.0</v>
      </c>
    </row>
    <row r="1669">
      <c r="C1669" s="14"/>
      <c r="D1669" s="13"/>
      <c r="E1669" s="13"/>
      <c r="F1669" s="13"/>
    </row>
    <row r="1670">
      <c r="B1670" s="13" t="s">
        <v>1462</v>
      </c>
      <c r="C1670" s="79" t="s">
        <v>1463</v>
      </c>
      <c r="D1670" s="13" t="s">
        <v>1464</v>
      </c>
      <c r="E1670" s="13" t="s">
        <v>426</v>
      </c>
      <c r="F1670" s="13">
        <v>8000.0</v>
      </c>
      <c r="G1670" s="13">
        <v>8000.0</v>
      </c>
    </row>
    <row r="1671">
      <c r="D1671" s="13" t="s">
        <v>1465</v>
      </c>
      <c r="E1671" s="13">
        <v>1.0</v>
      </c>
      <c r="F1671" s="13">
        <v>5000.0</v>
      </c>
      <c r="G1671" s="13">
        <v>5000.0</v>
      </c>
    </row>
    <row r="1672">
      <c r="B1672" s="13" t="s">
        <v>1466</v>
      </c>
      <c r="C1672" s="79" t="s">
        <v>1467</v>
      </c>
      <c r="D1672" s="13" t="s">
        <v>1209</v>
      </c>
      <c r="E1672" s="13" t="s">
        <v>776</v>
      </c>
      <c r="F1672" s="13"/>
      <c r="G1672" s="13">
        <v>13850.0</v>
      </c>
    </row>
    <row r="1673">
      <c r="D1673" s="13" t="s">
        <v>597</v>
      </c>
      <c r="E1673" s="13" t="s">
        <v>727</v>
      </c>
      <c r="F1673" s="13"/>
      <c r="G1673" s="13">
        <v>4500.0</v>
      </c>
    </row>
    <row r="1674">
      <c r="D1674" s="13"/>
      <c r="E1674" s="13"/>
      <c r="F1674" s="13"/>
    </row>
    <row r="1675">
      <c r="B1675" s="13" t="s">
        <v>1468</v>
      </c>
      <c r="C1675" s="79" t="s">
        <v>478</v>
      </c>
      <c r="D1675" s="13" t="s">
        <v>924</v>
      </c>
      <c r="E1675" s="13" t="s">
        <v>426</v>
      </c>
      <c r="F1675" s="13">
        <v>4400.0</v>
      </c>
      <c r="G1675" s="13">
        <v>4400.0</v>
      </c>
    </row>
    <row r="1676">
      <c r="D1676" s="13"/>
      <c r="E1676" s="13"/>
      <c r="F1676" s="13"/>
    </row>
    <row r="1677">
      <c r="B1677" s="13" t="s">
        <v>743</v>
      </c>
      <c r="C1677" s="56" t="s">
        <v>714</v>
      </c>
      <c r="D1677" s="56" t="s">
        <v>924</v>
      </c>
      <c r="E1677" s="56" t="s">
        <v>426</v>
      </c>
      <c r="F1677" s="56">
        <v>3300.0</v>
      </c>
    </row>
    <row r="1678">
      <c r="C1678" s="99"/>
      <c r="D1678" s="56" t="s">
        <v>1469</v>
      </c>
      <c r="E1678" s="56" t="s">
        <v>426</v>
      </c>
      <c r="F1678" s="56">
        <v>11500.0</v>
      </c>
    </row>
    <row r="1679">
      <c r="C1679" s="99"/>
      <c r="D1679" s="99"/>
      <c r="E1679" s="99"/>
      <c r="F1679" s="56"/>
    </row>
    <row r="1680">
      <c r="C1680" s="56"/>
      <c r="D1680" s="56" t="s">
        <v>540</v>
      </c>
      <c r="E1680" s="56" t="s">
        <v>426</v>
      </c>
      <c r="F1680" s="56">
        <v>2400.0</v>
      </c>
    </row>
    <row r="1681">
      <c r="C1681" s="56"/>
      <c r="D1681" s="56" t="s">
        <v>1395</v>
      </c>
      <c r="E1681" s="56">
        <v>2.0</v>
      </c>
      <c r="F1681" s="56">
        <v>3000.0</v>
      </c>
    </row>
    <row r="1682">
      <c r="C1682" s="14"/>
      <c r="D1682" s="13"/>
      <c r="E1682" s="13"/>
      <c r="F1682" s="13"/>
    </row>
    <row r="1683">
      <c r="B1683" s="13" t="s">
        <v>1470</v>
      </c>
      <c r="C1683" s="79" t="s">
        <v>638</v>
      </c>
      <c r="D1683" s="13" t="s">
        <v>640</v>
      </c>
      <c r="E1683" s="13" t="s">
        <v>426</v>
      </c>
      <c r="F1683" s="13">
        <v>6000.0</v>
      </c>
      <c r="G1683" s="13">
        <v>6000.0</v>
      </c>
    </row>
    <row r="1684">
      <c r="D1684" s="13" t="s">
        <v>780</v>
      </c>
      <c r="E1684" s="13" t="s">
        <v>426</v>
      </c>
      <c r="F1684" s="13">
        <v>12000.0</v>
      </c>
      <c r="G1684" s="13">
        <v>12000.0</v>
      </c>
    </row>
    <row r="1685">
      <c r="D1685" s="13" t="s">
        <v>971</v>
      </c>
      <c r="E1685" s="13" t="s">
        <v>727</v>
      </c>
      <c r="F1685" s="13">
        <v>3500.0</v>
      </c>
      <c r="G1685" s="13">
        <v>3500.0</v>
      </c>
    </row>
    <row r="1686">
      <c r="D1686" s="13" t="s">
        <v>174</v>
      </c>
      <c r="E1686" s="13">
        <v>1.0</v>
      </c>
      <c r="F1686" s="13">
        <v>2500.0</v>
      </c>
      <c r="G1686" s="13">
        <v>2500.0</v>
      </c>
    </row>
    <row r="1687">
      <c r="D1687" s="13"/>
      <c r="E1687" s="13"/>
      <c r="F1687" s="13"/>
    </row>
    <row r="1688">
      <c r="B1688" s="13" t="s">
        <v>1471</v>
      </c>
      <c r="C1688" s="79" t="s">
        <v>1472</v>
      </c>
      <c r="D1688" s="13" t="s">
        <v>971</v>
      </c>
      <c r="E1688" s="13" t="s">
        <v>426</v>
      </c>
      <c r="F1688" s="13">
        <v>5000.0</v>
      </c>
      <c r="G1688" s="13">
        <v>5000.0</v>
      </c>
    </row>
    <row r="1689">
      <c r="D1689" s="13" t="s">
        <v>1473</v>
      </c>
      <c r="E1689" s="13" t="s">
        <v>727</v>
      </c>
      <c r="F1689" s="13">
        <v>8700.0</v>
      </c>
      <c r="G1689" s="13">
        <v>8700.0</v>
      </c>
    </row>
    <row r="1690">
      <c r="D1690" s="13" t="s">
        <v>1474</v>
      </c>
      <c r="E1690" s="13" t="s">
        <v>426</v>
      </c>
      <c r="F1690" s="13">
        <v>23000.0</v>
      </c>
      <c r="G1690" s="13">
        <v>23000.0</v>
      </c>
    </row>
    <row r="1691">
      <c r="D1691" s="13" t="s">
        <v>233</v>
      </c>
      <c r="E1691" s="13">
        <v>1.0</v>
      </c>
      <c r="F1691" s="13">
        <v>10000.0</v>
      </c>
      <c r="G1691" s="13">
        <v>10000.0</v>
      </c>
    </row>
    <row r="1692">
      <c r="D1692" s="13" t="s">
        <v>1223</v>
      </c>
      <c r="E1692" s="13" t="s">
        <v>426</v>
      </c>
      <c r="F1692" s="13"/>
      <c r="G1692" s="13">
        <v>1100.0</v>
      </c>
    </row>
    <row r="1693">
      <c r="D1693" s="13" t="s">
        <v>60</v>
      </c>
      <c r="E1693" s="13" t="s">
        <v>426</v>
      </c>
      <c r="F1693" s="13">
        <v>12000.0</v>
      </c>
      <c r="G1693" s="13">
        <v>12000.0</v>
      </c>
    </row>
    <row r="1694">
      <c r="D1694" s="13" t="s">
        <v>1475</v>
      </c>
      <c r="E1694" s="13" t="s">
        <v>727</v>
      </c>
      <c r="F1694" s="13">
        <v>3400.0</v>
      </c>
      <c r="G1694" s="13">
        <v>3400.0</v>
      </c>
    </row>
    <row r="1695">
      <c r="D1695" s="13" t="s">
        <v>663</v>
      </c>
      <c r="E1695" s="13" t="s">
        <v>426</v>
      </c>
      <c r="F1695" s="13">
        <v>7700.0</v>
      </c>
      <c r="G1695" s="13">
        <v>7700.0</v>
      </c>
    </row>
    <row r="1697">
      <c r="C1697" s="14"/>
    </row>
    <row r="1698">
      <c r="D1698" s="13"/>
      <c r="E1698" s="13"/>
      <c r="F1698" s="13"/>
    </row>
    <row r="1699">
      <c r="D1699" s="13"/>
      <c r="E1699" s="13"/>
      <c r="F1699" s="13"/>
    </row>
    <row r="1700">
      <c r="B1700" s="13" t="s">
        <v>1476</v>
      </c>
      <c r="C1700" s="79" t="s">
        <v>1076</v>
      </c>
      <c r="D1700" s="13" t="s">
        <v>764</v>
      </c>
      <c r="E1700" s="13" t="s">
        <v>426</v>
      </c>
      <c r="F1700" s="13">
        <v>17000.0</v>
      </c>
    </row>
    <row r="1701">
      <c r="D1701" s="13" t="s">
        <v>586</v>
      </c>
      <c r="E1701" s="13" t="s">
        <v>426</v>
      </c>
      <c r="F1701" s="13">
        <v>8500.0</v>
      </c>
    </row>
    <row r="1702">
      <c r="A1702" s="13"/>
      <c r="D1702" s="13" t="s">
        <v>908</v>
      </c>
      <c r="E1702" s="13" t="s">
        <v>727</v>
      </c>
      <c r="F1702" s="13">
        <v>4500.0</v>
      </c>
    </row>
    <row r="1704">
      <c r="B1704" s="13" t="s">
        <v>1477</v>
      </c>
      <c r="C1704" s="79" t="s">
        <v>1478</v>
      </c>
      <c r="D1704" s="13" t="s">
        <v>1479</v>
      </c>
      <c r="E1704" s="13" t="s">
        <v>426</v>
      </c>
      <c r="F1704" s="13">
        <v>7700.0</v>
      </c>
    </row>
    <row r="1705">
      <c r="D1705" s="13"/>
      <c r="E1705" s="13"/>
      <c r="F1705" s="13"/>
    </row>
    <row r="1706">
      <c r="D1706" s="13"/>
      <c r="E1706" s="13"/>
      <c r="F1706" s="13"/>
    </row>
    <row r="1707">
      <c r="A1707" s="78">
        <v>45928.0</v>
      </c>
      <c r="D1707" s="13"/>
      <c r="E1707" s="13"/>
      <c r="F1707" s="13"/>
    </row>
    <row r="1708">
      <c r="D1708" s="13"/>
      <c r="E1708" s="13"/>
      <c r="F1708" s="13"/>
    </row>
    <row r="1709">
      <c r="B1709" s="13" t="s">
        <v>1480</v>
      </c>
      <c r="C1709" s="79" t="s">
        <v>1481</v>
      </c>
      <c r="D1709" s="13" t="s">
        <v>1482</v>
      </c>
      <c r="E1709" s="13" t="s">
        <v>426</v>
      </c>
      <c r="F1709" s="19">
        <v>40200.0</v>
      </c>
    </row>
    <row r="1710">
      <c r="D1710" s="13" t="s">
        <v>908</v>
      </c>
      <c r="E1710" s="13" t="s">
        <v>426</v>
      </c>
      <c r="F1710" s="13">
        <v>7500.0</v>
      </c>
    </row>
    <row r="1711">
      <c r="D1711" s="13" t="s">
        <v>1337</v>
      </c>
      <c r="E1711" s="13" t="s">
        <v>426</v>
      </c>
      <c r="F1711" s="13">
        <v>3500.0</v>
      </c>
    </row>
    <row r="1712">
      <c r="D1712" s="13" t="s">
        <v>1483</v>
      </c>
      <c r="E1712" s="13" t="s">
        <v>426</v>
      </c>
      <c r="F1712" s="13">
        <v>7000.0</v>
      </c>
    </row>
    <row r="1713">
      <c r="D1713" s="13" t="s">
        <v>644</v>
      </c>
      <c r="E1713" s="13">
        <v>1.0</v>
      </c>
      <c r="F1713" s="13">
        <v>2500.0</v>
      </c>
    </row>
    <row r="1714">
      <c r="D1714" s="13" t="s">
        <v>444</v>
      </c>
      <c r="E1714" s="13" t="s">
        <v>426</v>
      </c>
      <c r="F1714" s="13">
        <v>12000.0</v>
      </c>
    </row>
    <row r="1715">
      <c r="D1715" s="13" t="s">
        <v>885</v>
      </c>
      <c r="E1715" s="13" t="s">
        <v>426</v>
      </c>
      <c r="F1715" s="19">
        <v>15300.0</v>
      </c>
    </row>
    <row r="1716">
      <c r="C1716" s="14"/>
      <c r="D1716" s="13"/>
      <c r="E1716" s="13"/>
      <c r="F1716" s="13"/>
      <c r="G1716" s="13"/>
    </row>
    <row r="1717">
      <c r="B1717" s="13" t="s">
        <v>1484</v>
      </c>
      <c r="C1717" s="79" t="s">
        <v>1485</v>
      </c>
      <c r="D1717" s="13" t="s">
        <v>1486</v>
      </c>
      <c r="E1717" s="13">
        <v>2.0</v>
      </c>
      <c r="F1717" s="13">
        <v>1800.0</v>
      </c>
      <c r="G1717" s="13">
        <v>3600.0</v>
      </c>
    </row>
    <row r="1718">
      <c r="D1718" s="13"/>
      <c r="E1718" s="13"/>
      <c r="F1718" s="13"/>
    </row>
    <row r="1719">
      <c r="D1719" s="13"/>
      <c r="E1719" s="13"/>
      <c r="F1719" s="13"/>
    </row>
    <row r="1720">
      <c r="D1720" s="13"/>
      <c r="E1720" s="13"/>
      <c r="F1720" s="13"/>
    </row>
    <row r="1721">
      <c r="B1721" s="13" t="s">
        <v>792</v>
      </c>
      <c r="C1721" s="79" t="s">
        <v>1487</v>
      </c>
      <c r="D1721" s="13" t="s">
        <v>1451</v>
      </c>
      <c r="E1721" s="13" t="s">
        <v>426</v>
      </c>
      <c r="F1721" s="13">
        <v>2000.0</v>
      </c>
    </row>
    <row r="1722">
      <c r="D1722" s="13" t="s">
        <v>1488</v>
      </c>
      <c r="E1722" s="13" t="s">
        <v>426</v>
      </c>
      <c r="F1722" s="13">
        <v>8000.0</v>
      </c>
    </row>
    <row r="1723">
      <c r="D1723" s="13" t="s">
        <v>1263</v>
      </c>
      <c r="E1723" s="13" t="s">
        <v>814</v>
      </c>
      <c r="F1723" s="13">
        <v>2500.0</v>
      </c>
    </row>
    <row r="1724">
      <c r="B1724" s="13" t="s">
        <v>1489</v>
      </c>
      <c r="C1724" s="79" t="s">
        <v>1490</v>
      </c>
      <c r="D1724" s="13" t="s">
        <v>865</v>
      </c>
      <c r="E1724" s="13" t="s">
        <v>426</v>
      </c>
      <c r="F1724" s="19">
        <v>21300.0</v>
      </c>
    </row>
    <row r="1725">
      <c r="D1725" s="13" t="s">
        <v>630</v>
      </c>
      <c r="E1725" s="13" t="s">
        <v>426</v>
      </c>
      <c r="F1725" s="13">
        <v>7500.0</v>
      </c>
    </row>
    <row r="1726">
      <c r="D1726" s="13"/>
      <c r="E1726" s="13"/>
      <c r="F1726" s="13"/>
    </row>
    <row r="1727">
      <c r="B1727" s="13" t="s">
        <v>1491</v>
      </c>
      <c r="C1727" s="79" t="s">
        <v>1492</v>
      </c>
      <c r="D1727" s="13" t="s">
        <v>1493</v>
      </c>
      <c r="E1727" s="13">
        <v>1.0</v>
      </c>
      <c r="F1727" s="13">
        <v>5300.0</v>
      </c>
    </row>
    <row r="1728">
      <c r="D1728" s="13" t="s">
        <v>1494</v>
      </c>
      <c r="E1728" s="13" t="s">
        <v>426</v>
      </c>
      <c r="F1728" s="13">
        <v>4400.0</v>
      </c>
    </row>
    <row r="1729">
      <c r="D1729" s="13" t="s">
        <v>548</v>
      </c>
      <c r="E1729" s="13" t="s">
        <v>1045</v>
      </c>
      <c r="F1729" s="13">
        <v>4000.0</v>
      </c>
    </row>
    <row r="1730">
      <c r="A1730" s="13" t="s">
        <v>1495</v>
      </c>
      <c r="B1730" s="13" t="s">
        <v>1496</v>
      </c>
      <c r="C1730" s="79" t="s">
        <v>1497</v>
      </c>
      <c r="D1730" s="13" t="s">
        <v>1498</v>
      </c>
      <c r="E1730" s="13" t="s">
        <v>426</v>
      </c>
      <c r="F1730" s="13">
        <v>17000.0</v>
      </c>
    </row>
    <row r="1731">
      <c r="D1731" s="13"/>
      <c r="E1731" s="13"/>
      <c r="F1731" s="13"/>
    </row>
    <row r="1732">
      <c r="D1732" s="13"/>
      <c r="E1732" s="13"/>
      <c r="F1732" s="13"/>
    </row>
    <row r="1733">
      <c r="D1733" s="13"/>
      <c r="E1733" s="13"/>
      <c r="F1733" s="13"/>
    </row>
    <row r="1734">
      <c r="B1734" s="13" t="s">
        <v>1499</v>
      </c>
      <c r="C1734" s="79" t="s">
        <v>1500</v>
      </c>
      <c r="D1734" s="13" t="s">
        <v>1498</v>
      </c>
      <c r="E1734" s="13" t="s">
        <v>426</v>
      </c>
      <c r="F1734" s="13">
        <v>17000.0</v>
      </c>
    </row>
    <row r="1735">
      <c r="D1735" s="13" t="s">
        <v>1501</v>
      </c>
      <c r="E1735" s="13" t="s">
        <v>426</v>
      </c>
      <c r="F1735" s="13">
        <v>17400.0</v>
      </c>
    </row>
    <row r="1736">
      <c r="D1736" s="13" t="s">
        <v>758</v>
      </c>
      <c r="E1736" s="13" t="s">
        <v>426</v>
      </c>
      <c r="F1736" s="13">
        <v>4400.0</v>
      </c>
    </row>
    <row r="1737">
      <c r="D1737" s="13"/>
      <c r="E1737" s="13"/>
      <c r="F1737" s="13"/>
    </row>
    <row r="1738">
      <c r="D1738" s="13"/>
      <c r="E1738" s="13"/>
      <c r="F1738" s="13"/>
    </row>
    <row r="1739">
      <c r="B1739" s="13" t="s">
        <v>1502</v>
      </c>
      <c r="C1739" s="79" t="s">
        <v>1503</v>
      </c>
      <c r="D1739" s="13" t="s">
        <v>1005</v>
      </c>
      <c r="E1739" s="13" t="s">
        <v>426</v>
      </c>
      <c r="F1739" s="13"/>
    </row>
    <row r="1740">
      <c r="D1740" s="13"/>
      <c r="E1740" s="13"/>
      <c r="F1740" s="13"/>
    </row>
    <row r="1741">
      <c r="D1741" s="13"/>
      <c r="E1741" s="13"/>
      <c r="F1741" s="13"/>
    </row>
    <row r="1742">
      <c r="A1742" s="78">
        <v>45935.0</v>
      </c>
      <c r="B1742" s="13" t="s">
        <v>1504</v>
      </c>
      <c r="C1742" s="79" t="s">
        <v>1505</v>
      </c>
      <c r="D1742" s="13" t="s">
        <v>1506</v>
      </c>
      <c r="E1742" s="13">
        <v>1.0</v>
      </c>
      <c r="F1742" s="13">
        <v>2500.0</v>
      </c>
    </row>
    <row r="1743">
      <c r="D1743" s="13"/>
      <c r="E1743" s="13"/>
      <c r="F1743" s="13"/>
    </row>
    <row r="1744">
      <c r="B1744" s="13" t="s">
        <v>1507</v>
      </c>
      <c r="C1744" s="79" t="s">
        <v>1508</v>
      </c>
      <c r="D1744" s="13" t="s">
        <v>1147</v>
      </c>
      <c r="E1744" s="13" t="s">
        <v>765</v>
      </c>
      <c r="F1744" s="13">
        <v>2200.0</v>
      </c>
    </row>
    <row r="1745">
      <c r="D1745" s="13" t="s">
        <v>1509</v>
      </c>
      <c r="E1745" s="13" t="s">
        <v>426</v>
      </c>
      <c r="F1745" s="13">
        <v>11300.0</v>
      </c>
    </row>
    <row r="1746">
      <c r="D1746" s="13" t="s">
        <v>813</v>
      </c>
      <c r="E1746" s="13" t="s">
        <v>727</v>
      </c>
      <c r="F1746" s="19">
        <v>21000.0</v>
      </c>
    </row>
    <row r="1747">
      <c r="D1747" s="13" t="s">
        <v>606</v>
      </c>
      <c r="E1747" s="13" t="s">
        <v>426</v>
      </c>
      <c r="F1747" s="13">
        <v>6000.0</v>
      </c>
    </row>
    <row r="1748">
      <c r="D1748" s="13"/>
      <c r="E1748" s="13"/>
      <c r="F1748" s="13"/>
    </row>
    <row r="1749">
      <c r="B1749" s="13" t="s">
        <v>1510</v>
      </c>
      <c r="C1749" s="79" t="s">
        <v>1511</v>
      </c>
      <c r="D1749" s="13" t="s">
        <v>1512</v>
      </c>
      <c r="E1749" s="13">
        <v>1.0</v>
      </c>
      <c r="F1749" s="13"/>
    </row>
    <row r="1750">
      <c r="D1750" s="13"/>
      <c r="E1750" s="13"/>
      <c r="F1750" s="13"/>
    </row>
    <row r="1751">
      <c r="D1751" s="13"/>
      <c r="E1751" s="13"/>
      <c r="F1751" s="13"/>
    </row>
    <row r="1752">
      <c r="C1752" s="79" t="s">
        <v>1513</v>
      </c>
      <c r="D1752" s="13" t="s">
        <v>1514</v>
      </c>
      <c r="E1752" s="13" t="s">
        <v>426</v>
      </c>
      <c r="F1752" s="13">
        <v>3600.0</v>
      </c>
    </row>
    <row r="1753">
      <c r="D1753" s="13" t="s">
        <v>1515</v>
      </c>
      <c r="E1753" s="13" t="s">
        <v>426</v>
      </c>
      <c r="F1753" s="13">
        <v>8500.0</v>
      </c>
    </row>
    <row r="1754">
      <c r="D1754" s="13" t="s">
        <v>1516</v>
      </c>
      <c r="E1754" s="13" t="s">
        <v>426</v>
      </c>
      <c r="F1754" s="13">
        <v>13000.0</v>
      </c>
    </row>
    <row r="1755">
      <c r="D1755" s="13"/>
      <c r="E1755" s="13"/>
      <c r="F1755" s="13"/>
    </row>
    <row r="1756">
      <c r="C1756" s="79" t="s">
        <v>1517</v>
      </c>
      <c r="D1756" s="13" t="s">
        <v>1518</v>
      </c>
      <c r="E1756" s="13" t="s">
        <v>426</v>
      </c>
      <c r="F1756" s="13"/>
    </row>
    <row r="1757">
      <c r="D1757" s="13" t="s">
        <v>832</v>
      </c>
      <c r="E1757" s="13"/>
      <c r="F1757" s="13"/>
    </row>
    <row r="1758">
      <c r="D1758" s="13"/>
      <c r="E1758" s="13"/>
      <c r="F1758" s="13"/>
    </row>
    <row r="1759">
      <c r="B1759" s="13" t="s">
        <v>1519</v>
      </c>
      <c r="C1759" s="79" t="s">
        <v>1379</v>
      </c>
      <c r="D1759" s="13" t="s">
        <v>1520</v>
      </c>
      <c r="E1759" s="13" t="s">
        <v>426</v>
      </c>
      <c r="F1759" s="13">
        <v>7700.0</v>
      </c>
    </row>
    <row r="1760">
      <c r="D1760" s="13" t="s">
        <v>911</v>
      </c>
      <c r="E1760" s="13" t="s">
        <v>693</v>
      </c>
      <c r="F1760" s="13">
        <v>12000.0</v>
      </c>
    </row>
    <row r="1761">
      <c r="D1761" s="13" t="s">
        <v>1270</v>
      </c>
      <c r="E1761" s="13" t="s">
        <v>426</v>
      </c>
      <c r="F1761" s="13">
        <v>17000.0</v>
      </c>
    </row>
    <row r="1762">
      <c r="D1762" s="13" t="s">
        <v>585</v>
      </c>
      <c r="E1762" s="13" t="s">
        <v>426</v>
      </c>
      <c r="F1762" s="13">
        <v>3000.0</v>
      </c>
    </row>
    <row r="1763">
      <c r="D1763" s="13" t="s">
        <v>1336</v>
      </c>
      <c r="E1763" s="13" t="s">
        <v>426</v>
      </c>
      <c r="F1763" s="13">
        <v>7500.0</v>
      </c>
    </row>
    <row r="1764">
      <c r="D1764" s="13" t="s">
        <v>577</v>
      </c>
      <c r="E1764" s="13" t="s">
        <v>426</v>
      </c>
      <c r="F1764" s="13">
        <v>20200.0</v>
      </c>
    </row>
    <row r="1765">
      <c r="D1765" s="13" t="s">
        <v>816</v>
      </c>
      <c r="E1765" s="13" t="s">
        <v>426</v>
      </c>
      <c r="F1765" s="13">
        <v>11000.0</v>
      </c>
    </row>
    <row r="1766">
      <c r="D1766" s="13" t="s">
        <v>1521</v>
      </c>
      <c r="E1766" s="13" t="s">
        <v>426</v>
      </c>
      <c r="F1766" s="13">
        <v>5700.0</v>
      </c>
    </row>
    <row r="1767">
      <c r="D1767" s="13" t="s">
        <v>1522</v>
      </c>
      <c r="E1767" s="13">
        <v>1.0</v>
      </c>
      <c r="F1767" s="13">
        <v>2500.0</v>
      </c>
    </row>
    <row r="1768">
      <c r="D1768" s="13" t="s">
        <v>1523</v>
      </c>
      <c r="E1768" s="13" t="s">
        <v>426</v>
      </c>
      <c r="F1768" s="13">
        <v>6000.0</v>
      </c>
    </row>
    <row r="1769">
      <c r="D1769" s="13"/>
      <c r="E1769" s="13"/>
      <c r="F1769" s="13"/>
    </row>
    <row r="1770">
      <c r="B1770" s="13" t="s">
        <v>1524</v>
      </c>
      <c r="C1770" s="79" t="s">
        <v>1525</v>
      </c>
      <c r="D1770" s="13" t="s">
        <v>780</v>
      </c>
      <c r="E1770" s="13" t="s">
        <v>426</v>
      </c>
      <c r="F1770" s="19">
        <v>12000.0</v>
      </c>
    </row>
    <row r="1771">
      <c r="D1771" s="13" t="s">
        <v>60</v>
      </c>
      <c r="E1771" s="13" t="s">
        <v>426</v>
      </c>
      <c r="F1771" s="13">
        <v>12000.0</v>
      </c>
    </row>
    <row r="1772">
      <c r="D1772" s="13"/>
      <c r="E1772" s="13"/>
      <c r="F1772" s="13"/>
    </row>
    <row r="1773">
      <c r="D1773" s="13"/>
      <c r="E1773" s="13"/>
      <c r="F1773" s="13"/>
    </row>
    <row r="1774">
      <c r="B1774" s="13" t="s">
        <v>1526</v>
      </c>
      <c r="C1774" s="79" t="s">
        <v>1527</v>
      </c>
      <c r="D1774" s="13" t="s">
        <v>1275</v>
      </c>
      <c r="E1774" s="13" t="s">
        <v>426</v>
      </c>
      <c r="F1774" s="13">
        <v>17000.0</v>
      </c>
    </row>
    <row r="1775">
      <c r="D1775" s="13" t="s">
        <v>799</v>
      </c>
      <c r="E1775" s="13" t="s">
        <v>426</v>
      </c>
      <c r="F1775" s="13">
        <v>17400.0</v>
      </c>
    </row>
    <row r="1776">
      <c r="D1776" s="13" t="s">
        <v>816</v>
      </c>
      <c r="E1776" s="13" t="s">
        <v>426</v>
      </c>
      <c r="F1776" s="13">
        <v>11000.0</v>
      </c>
    </row>
    <row r="1777">
      <c r="D1777" s="13" t="s">
        <v>577</v>
      </c>
      <c r="E1777" s="13" t="s">
        <v>426</v>
      </c>
      <c r="F1777" s="13">
        <v>20200.0</v>
      </c>
    </row>
    <row r="1778">
      <c r="D1778" s="13"/>
      <c r="E1778" s="13"/>
      <c r="F1778" s="13"/>
    </row>
    <row r="1779">
      <c r="B1779" s="13" t="s">
        <v>1528</v>
      </c>
      <c r="C1779" s="79" t="s">
        <v>1529</v>
      </c>
      <c r="D1779" s="13" t="s">
        <v>640</v>
      </c>
      <c r="E1779" s="13" t="s">
        <v>426</v>
      </c>
      <c r="F1779" s="13">
        <v>6000.0</v>
      </c>
    </row>
    <row r="1780">
      <c r="D1780" s="13" t="s">
        <v>911</v>
      </c>
      <c r="E1780" s="13" t="s">
        <v>426</v>
      </c>
      <c r="F1780" s="13">
        <v>12000.0</v>
      </c>
    </row>
    <row r="1781">
      <c r="D1781" s="13"/>
      <c r="E1781" s="13"/>
      <c r="F1781" s="13"/>
    </row>
    <row r="1782">
      <c r="D1782" s="13"/>
      <c r="E1782" s="13"/>
      <c r="F1782" s="13"/>
    </row>
    <row r="1783">
      <c r="B1783" s="13" t="s">
        <v>1530</v>
      </c>
      <c r="C1783" s="79" t="s">
        <v>1531</v>
      </c>
      <c r="D1783" s="13" t="s">
        <v>1532</v>
      </c>
      <c r="E1783" s="13" t="s">
        <v>426</v>
      </c>
      <c r="F1783" s="13">
        <v>14000.0</v>
      </c>
    </row>
    <row r="1784">
      <c r="D1784" s="13"/>
      <c r="E1784" s="13"/>
      <c r="F1784" s="13"/>
    </row>
    <row r="1785">
      <c r="D1785" s="13"/>
      <c r="E1785" s="13"/>
      <c r="F1785" s="13"/>
    </row>
    <row r="1786">
      <c r="B1786" s="13" t="s">
        <v>1533</v>
      </c>
      <c r="C1786" s="79" t="s">
        <v>1534</v>
      </c>
      <c r="D1786" s="13" t="s">
        <v>1053</v>
      </c>
      <c r="E1786" s="13" t="s">
        <v>429</v>
      </c>
      <c r="F1786" s="19">
        <v>20200.0</v>
      </c>
      <c r="G1786" s="19">
        <v>40400.0</v>
      </c>
    </row>
    <row r="1787">
      <c r="D1787" s="13" t="s">
        <v>1535</v>
      </c>
      <c r="E1787" s="13" t="s">
        <v>426</v>
      </c>
      <c r="F1787" s="13">
        <v>11300.0</v>
      </c>
      <c r="G1787" s="19">
        <v>11300.0</v>
      </c>
    </row>
    <row r="1788">
      <c r="D1788" s="13"/>
      <c r="E1788" s="13"/>
      <c r="F1788" s="13"/>
    </row>
    <row r="1789">
      <c r="D1789" s="13"/>
      <c r="E1789" s="13"/>
      <c r="F1789" s="13"/>
    </row>
    <row r="1790">
      <c r="D1790" s="13"/>
      <c r="E1790" s="13"/>
      <c r="F1790" s="13"/>
    </row>
    <row r="1791">
      <c r="A1791" s="87">
        <v>45942.0</v>
      </c>
      <c r="D1791" s="13"/>
      <c r="E1791" s="13"/>
      <c r="F1791" s="13"/>
    </row>
    <row r="1792">
      <c r="B1792" s="13" t="s">
        <v>757</v>
      </c>
      <c r="C1792" s="79" t="s">
        <v>1536</v>
      </c>
      <c r="D1792" s="13" t="s">
        <v>1387</v>
      </c>
      <c r="E1792" s="13">
        <v>1.0</v>
      </c>
      <c r="F1792" s="13">
        <v>1800.0</v>
      </c>
    </row>
    <row r="1793">
      <c r="D1793" s="13" t="s">
        <v>1150</v>
      </c>
      <c r="E1793" s="13" t="s">
        <v>426</v>
      </c>
      <c r="F1793" s="13">
        <v>20200.0</v>
      </c>
    </row>
    <row r="1794">
      <c r="D1794" s="13" t="s">
        <v>1537</v>
      </c>
      <c r="E1794" s="13" t="s">
        <v>426</v>
      </c>
      <c r="F1794" s="13">
        <v>7500.0</v>
      </c>
    </row>
    <row r="1795">
      <c r="D1795" s="13" t="s">
        <v>1538</v>
      </c>
      <c r="E1795" s="13" t="s">
        <v>426</v>
      </c>
      <c r="F1795" s="13">
        <v>3500.0</v>
      </c>
    </row>
    <row r="1796">
      <c r="D1796" s="13" t="s">
        <v>937</v>
      </c>
      <c r="E1796" s="13" t="s">
        <v>426</v>
      </c>
      <c r="F1796" s="13"/>
      <c r="H1796" s="13" t="s">
        <v>1014</v>
      </c>
    </row>
    <row r="1797">
      <c r="D1797" s="13" t="s">
        <v>640</v>
      </c>
      <c r="E1797" s="13" t="s">
        <v>426</v>
      </c>
      <c r="F1797" s="13">
        <v>6000.0</v>
      </c>
    </row>
    <row r="1798">
      <c r="D1798" s="13"/>
      <c r="E1798" s="13"/>
      <c r="F1798" s="13"/>
    </row>
    <row r="1799">
      <c r="C1799" s="79" t="s">
        <v>1539</v>
      </c>
      <c r="D1799" s="13" t="s">
        <v>911</v>
      </c>
      <c r="E1799" s="13" t="s">
        <v>426</v>
      </c>
      <c r="F1799" s="13">
        <v>12000.0</v>
      </c>
    </row>
    <row r="1800">
      <c r="D1800" s="13"/>
      <c r="E1800" s="13"/>
      <c r="F1800" s="13"/>
    </row>
    <row r="1801">
      <c r="B1801" s="13" t="s">
        <v>1540</v>
      </c>
      <c r="C1801" s="79" t="s">
        <v>1541</v>
      </c>
      <c r="D1801" s="13" t="s">
        <v>1150</v>
      </c>
      <c r="E1801" s="13" t="s">
        <v>426</v>
      </c>
      <c r="F1801" s="19">
        <v>20200.0</v>
      </c>
    </row>
    <row r="1802">
      <c r="D1802" s="13" t="s">
        <v>1542</v>
      </c>
      <c r="E1802" s="13">
        <v>1.0</v>
      </c>
      <c r="F1802" s="13">
        <v>3500.0</v>
      </c>
    </row>
    <row r="1803">
      <c r="D1803" s="13" t="s">
        <v>1543</v>
      </c>
      <c r="E1803" s="13">
        <v>1.0</v>
      </c>
      <c r="F1803" s="13">
        <v>5800.0</v>
      </c>
    </row>
    <row r="1804">
      <c r="D1804" s="13" t="s">
        <v>1544</v>
      </c>
      <c r="E1804" s="13">
        <v>1.0</v>
      </c>
      <c r="F1804" s="13">
        <v>1800.0</v>
      </c>
    </row>
    <row r="1805">
      <c r="D1805" s="13"/>
      <c r="E1805" s="13"/>
      <c r="F1805" s="13"/>
    </row>
    <row r="1806">
      <c r="B1806" s="13" t="s">
        <v>1545</v>
      </c>
      <c r="C1806" s="79" t="s">
        <v>1546</v>
      </c>
      <c r="D1806" s="13" t="s">
        <v>1479</v>
      </c>
      <c r="E1806" s="13" t="s">
        <v>426</v>
      </c>
      <c r="F1806" s="13">
        <v>7700.0</v>
      </c>
    </row>
    <row r="1807">
      <c r="D1807" s="13"/>
      <c r="E1807" s="13"/>
      <c r="F1807" s="13"/>
    </row>
    <row r="1808">
      <c r="D1808" s="13"/>
      <c r="E1808" s="13"/>
      <c r="F1808" s="13"/>
    </row>
    <row r="1809">
      <c r="A1809" s="13" t="s">
        <v>811</v>
      </c>
      <c r="C1809" s="79" t="s">
        <v>1547</v>
      </c>
      <c r="D1809" s="13" t="s">
        <v>1150</v>
      </c>
      <c r="E1809" s="13" t="s">
        <v>426</v>
      </c>
      <c r="F1809" s="13"/>
    </row>
    <row r="1810">
      <c r="D1810" s="13" t="s">
        <v>823</v>
      </c>
      <c r="E1810" s="13" t="s">
        <v>426</v>
      </c>
      <c r="F1810" s="13"/>
    </row>
    <row r="1811">
      <c r="D1811" s="13" t="s">
        <v>1548</v>
      </c>
      <c r="E1811" s="13" t="s">
        <v>426</v>
      </c>
      <c r="F1811" s="13"/>
    </row>
    <row r="1812">
      <c r="D1812" s="13" t="s">
        <v>1549</v>
      </c>
      <c r="E1812" s="13">
        <v>1.0</v>
      </c>
      <c r="F1812" s="13"/>
    </row>
    <row r="1813">
      <c r="D1813" s="13" t="s">
        <v>1550</v>
      </c>
      <c r="E1813" s="13">
        <v>1.0</v>
      </c>
      <c r="F1813" s="13"/>
    </row>
    <row r="1814">
      <c r="D1814" s="13"/>
      <c r="E1814" s="13"/>
      <c r="F1814" s="13"/>
    </row>
    <row r="1815">
      <c r="D1815" s="13"/>
      <c r="E1815" s="13"/>
      <c r="F1815" s="13"/>
    </row>
    <row r="1816">
      <c r="A1816" s="13" t="s">
        <v>811</v>
      </c>
      <c r="C1816" s="79" t="s">
        <v>1551</v>
      </c>
      <c r="D1816" s="13" t="s">
        <v>1514</v>
      </c>
      <c r="E1816" s="13" t="s">
        <v>426</v>
      </c>
      <c r="F1816" s="13">
        <v>3600.0</v>
      </c>
    </row>
    <row r="1817">
      <c r="D1817" s="13" t="s">
        <v>780</v>
      </c>
      <c r="E1817" s="13" t="s">
        <v>426</v>
      </c>
      <c r="F1817" s="13">
        <v>12000.0</v>
      </c>
    </row>
    <row r="1818">
      <c r="D1818" s="13" t="s">
        <v>1552</v>
      </c>
      <c r="E1818" s="13" t="s">
        <v>426</v>
      </c>
      <c r="F1818" s="13">
        <v>6000.0</v>
      </c>
    </row>
    <row r="1819">
      <c r="D1819" s="13"/>
      <c r="E1819" s="13"/>
      <c r="F1819" s="13"/>
    </row>
    <row r="1820">
      <c r="B1820" s="13" t="s">
        <v>1553</v>
      </c>
      <c r="C1820" s="79" t="s">
        <v>1554</v>
      </c>
    </row>
    <row r="1821">
      <c r="D1821" s="13" t="s">
        <v>1555</v>
      </c>
      <c r="E1821" s="13">
        <v>1.0</v>
      </c>
      <c r="F1821" s="13">
        <v>2500.0</v>
      </c>
    </row>
    <row r="1822">
      <c r="D1822" s="13" t="s">
        <v>758</v>
      </c>
      <c r="E1822" s="13" t="s">
        <v>727</v>
      </c>
      <c r="F1822" s="13">
        <v>2500.0</v>
      </c>
    </row>
    <row r="1823">
      <c r="D1823" s="13" t="s">
        <v>640</v>
      </c>
      <c r="E1823" s="13" t="s">
        <v>426</v>
      </c>
      <c r="F1823" s="13">
        <v>6300.0</v>
      </c>
    </row>
    <row r="1824">
      <c r="D1824" s="13" t="s">
        <v>1556</v>
      </c>
      <c r="E1824" s="13" t="s">
        <v>1058</v>
      </c>
      <c r="F1824" s="13">
        <v>17500.0</v>
      </c>
    </row>
    <row r="1825">
      <c r="D1825" s="13" t="s">
        <v>1557</v>
      </c>
      <c r="E1825" s="13">
        <v>1.0</v>
      </c>
      <c r="F1825" s="13">
        <v>3000.0</v>
      </c>
    </row>
    <row r="1826">
      <c r="D1826" s="13"/>
      <c r="E1826" s="13"/>
      <c r="F1826" s="13"/>
    </row>
    <row r="1827">
      <c r="C1827" s="79" t="s">
        <v>466</v>
      </c>
      <c r="D1827" s="13" t="s">
        <v>578</v>
      </c>
      <c r="E1827" s="13" t="s">
        <v>1039</v>
      </c>
      <c r="F1827" s="13">
        <v>4400.0</v>
      </c>
    </row>
    <row r="1828">
      <c r="D1828" s="13" t="s">
        <v>598</v>
      </c>
      <c r="E1828" s="13" t="s">
        <v>426</v>
      </c>
      <c r="F1828" s="13"/>
    </row>
    <row r="1829">
      <c r="D1829" s="13"/>
      <c r="E1829" s="13"/>
      <c r="F1829" s="13"/>
    </row>
    <row r="1830">
      <c r="A1830" s="13" t="s">
        <v>811</v>
      </c>
      <c r="C1830" s="79" t="s">
        <v>1138</v>
      </c>
      <c r="D1830" s="13" t="s">
        <v>578</v>
      </c>
      <c r="E1830" s="13" t="s">
        <v>1039</v>
      </c>
      <c r="F1830" s="13">
        <f>5*4400</f>
        <v>22000</v>
      </c>
    </row>
    <row r="1831">
      <c r="D1831" s="13" t="s">
        <v>602</v>
      </c>
      <c r="E1831" s="13" t="s">
        <v>426</v>
      </c>
      <c r="F1831" s="13">
        <v>9000.0</v>
      </c>
    </row>
    <row r="1832">
      <c r="D1832" s="13" t="s">
        <v>1157</v>
      </c>
      <c r="E1832" s="13" t="s">
        <v>426</v>
      </c>
      <c r="F1832" s="13">
        <v>7500.0</v>
      </c>
    </row>
    <row r="1833">
      <c r="D1833" s="13" t="s">
        <v>732</v>
      </c>
      <c r="E1833" s="13" t="s">
        <v>426</v>
      </c>
      <c r="F1833" s="13">
        <v>12000.0</v>
      </c>
    </row>
    <row r="1834">
      <c r="D1834" s="13"/>
      <c r="E1834" s="13"/>
      <c r="F1834" s="13"/>
    </row>
    <row r="1835">
      <c r="A1835" s="13" t="s">
        <v>1558</v>
      </c>
      <c r="C1835" s="79" t="s">
        <v>542</v>
      </c>
      <c r="D1835" s="13" t="s">
        <v>449</v>
      </c>
      <c r="E1835" s="13" t="s">
        <v>426</v>
      </c>
      <c r="F1835" s="13"/>
    </row>
    <row r="1836">
      <c r="D1836" s="13"/>
      <c r="E1836" s="13"/>
      <c r="F1836" s="13"/>
    </row>
    <row r="1837">
      <c r="D1837" s="13"/>
      <c r="E1837" s="13"/>
      <c r="F1837" s="13"/>
    </row>
    <row r="1838">
      <c r="B1838" s="13" t="s">
        <v>1559</v>
      </c>
      <c r="C1838" s="79" t="s">
        <v>1560</v>
      </c>
      <c r="D1838" s="13" t="s">
        <v>1514</v>
      </c>
      <c r="E1838" s="13" t="s">
        <v>426</v>
      </c>
      <c r="F1838" s="13">
        <v>3600.0</v>
      </c>
    </row>
    <row r="1839">
      <c r="D1839" s="13" t="s">
        <v>1520</v>
      </c>
      <c r="E1839" s="13" t="s">
        <v>426</v>
      </c>
      <c r="F1839" s="13">
        <v>7700.0</v>
      </c>
    </row>
    <row r="1840">
      <c r="D1840" s="13"/>
      <c r="E1840" s="13"/>
      <c r="F1840" s="13"/>
    </row>
    <row r="1841">
      <c r="B1841" s="13" t="s">
        <v>1561</v>
      </c>
      <c r="C1841" s="79" t="s">
        <v>1562</v>
      </c>
      <c r="D1841" s="13" t="s">
        <v>687</v>
      </c>
      <c r="E1841" s="13" t="s">
        <v>426</v>
      </c>
      <c r="F1841" s="13">
        <v>3600.0</v>
      </c>
    </row>
    <row r="1842">
      <c r="D1842" s="13" t="s">
        <v>1563</v>
      </c>
      <c r="E1842" s="13">
        <v>1.0</v>
      </c>
      <c r="F1842" s="13"/>
    </row>
    <row r="1843">
      <c r="D1843" s="13" t="s">
        <v>1564</v>
      </c>
      <c r="E1843" s="13">
        <v>1.0</v>
      </c>
      <c r="F1843" s="13">
        <v>1800.0</v>
      </c>
    </row>
    <row r="1844">
      <c r="D1844" s="13" t="s">
        <v>1565</v>
      </c>
      <c r="E1844" s="13">
        <v>1.0</v>
      </c>
      <c r="F1844" s="13">
        <v>7200.0</v>
      </c>
    </row>
    <row r="1845">
      <c r="D1845" s="13" t="s">
        <v>651</v>
      </c>
      <c r="E1845" s="13" t="s">
        <v>426</v>
      </c>
      <c r="F1845" s="13">
        <v>2500.0</v>
      </c>
    </row>
    <row r="1846">
      <c r="D1846" s="13" t="s">
        <v>1566</v>
      </c>
      <c r="E1846" s="13" t="s">
        <v>426</v>
      </c>
      <c r="F1846" s="13">
        <v>8000.0</v>
      </c>
    </row>
    <row r="1847">
      <c r="D1847" s="13"/>
      <c r="E1847" s="13"/>
      <c r="F1847" s="13"/>
    </row>
    <row r="1848">
      <c r="B1848" s="13" t="s">
        <v>743</v>
      </c>
      <c r="C1848" s="56" t="s">
        <v>679</v>
      </c>
      <c r="D1848" s="99"/>
      <c r="E1848" s="99"/>
      <c r="F1848" s="56"/>
    </row>
    <row r="1849">
      <c r="C1849" s="99"/>
      <c r="D1849" s="56" t="s">
        <v>669</v>
      </c>
      <c r="E1849" s="56" t="s">
        <v>765</v>
      </c>
      <c r="F1849" s="56">
        <v>2880.0</v>
      </c>
    </row>
    <row r="1850">
      <c r="C1850" s="99"/>
      <c r="D1850" s="56" t="s">
        <v>1567</v>
      </c>
      <c r="E1850" s="56">
        <v>1.0</v>
      </c>
      <c r="F1850" s="56">
        <v>1500.0</v>
      </c>
    </row>
    <row r="1851">
      <c r="C1851" s="99"/>
      <c r="D1851" s="56" t="s">
        <v>630</v>
      </c>
      <c r="E1851" s="56" t="s">
        <v>765</v>
      </c>
      <c r="F1851" s="56">
        <v>1032.0</v>
      </c>
    </row>
    <row r="1852">
      <c r="D1852" s="13"/>
      <c r="E1852" s="13"/>
      <c r="F1852" s="13"/>
    </row>
    <row r="1853">
      <c r="B1853" s="13" t="s">
        <v>1568</v>
      </c>
      <c r="C1853" s="79" t="s">
        <v>1569</v>
      </c>
      <c r="D1853" s="13" t="s">
        <v>549</v>
      </c>
      <c r="E1853" s="13" t="s">
        <v>776</v>
      </c>
      <c r="F1853" s="19">
        <v>14000.0</v>
      </c>
    </row>
    <row r="1854">
      <c r="C1854" s="14"/>
    </row>
    <row r="1855">
      <c r="B1855" s="13" t="s">
        <v>1570</v>
      </c>
      <c r="C1855" s="79" t="s">
        <v>1571</v>
      </c>
    </row>
    <row r="1856">
      <c r="D1856" s="13" t="s">
        <v>590</v>
      </c>
      <c r="E1856" s="13" t="s">
        <v>426</v>
      </c>
      <c r="F1856" s="13">
        <v>3000.0</v>
      </c>
    </row>
    <row r="1857">
      <c r="D1857" s="13" t="s">
        <v>924</v>
      </c>
      <c r="E1857" s="13" t="s">
        <v>426</v>
      </c>
      <c r="F1857" s="13">
        <v>4400.0</v>
      </c>
    </row>
    <row r="1859">
      <c r="D1859" s="13" t="s">
        <v>1572</v>
      </c>
      <c r="E1859" s="13" t="s">
        <v>426</v>
      </c>
      <c r="F1859" s="13">
        <v>3600.0</v>
      </c>
    </row>
    <row r="1860">
      <c r="D1860" s="13" t="s">
        <v>1573</v>
      </c>
      <c r="E1860" s="13" t="s">
        <v>426</v>
      </c>
      <c r="F1860" s="13">
        <v>3200.0</v>
      </c>
    </row>
    <row r="1861">
      <c r="A1861" s="87">
        <v>45949.0</v>
      </c>
      <c r="D1861" s="13"/>
      <c r="E1861" s="13"/>
      <c r="F1861" s="13"/>
    </row>
    <row r="1862">
      <c r="A1862" s="13" t="s">
        <v>1574</v>
      </c>
      <c r="C1862" s="79" t="s">
        <v>1575</v>
      </c>
      <c r="D1862" s="13" t="s">
        <v>1479</v>
      </c>
      <c r="E1862" s="13" t="s">
        <v>426</v>
      </c>
      <c r="F1862" s="13">
        <v>7700.0</v>
      </c>
    </row>
    <row r="1863">
      <c r="D1863" s="13"/>
      <c r="E1863" s="13"/>
      <c r="F1863" s="13"/>
    </row>
    <row r="1864">
      <c r="C1864" s="79" t="s">
        <v>1576</v>
      </c>
      <c r="D1864" s="13" t="s">
        <v>1192</v>
      </c>
      <c r="E1864" s="13" t="s">
        <v>426</v>
      </c>
      <c r="F1864" s="13">
        <v>7500.0</v>
      </c>
    </row>
    <row r="1865">
      <c r="D1865" s="13"/>
      <c r="E1865" s="13"/>
      <c r="F1865" s="13"/>
    </row>
    <row r="1866">
      <c r="A1866" s="13" t="s">
        <v>1577</v>
      </c>
      <c r="C1866" s="79" t="s">
        <v>1578</v>
      </c>
      <c r="D1866" s="13" t="s">
        <v>1579</v>
      </c>
      <c r="E1866" s="13" t="s">
        <v>429</v>
      </c>
      <c r="F1866" s="13">
        <v>17600.0</v>
      </c>
      <c r="G1866" s="13">
        <v>35200.0</v>
      </c>
    </row>
    <row r="1867">
      <c r="D1867" s="13"/>
      <c r="E1867" s="13"/>
      <c r="F1867" s="13"/>
    </row>
    <row r="1868">
      <c r="D1868" s="13"/>
      <c r="E1868" s="13"/>
      <c r="F1868" s="13"/>
    </row>
    <row r="1869">
      <c r="B1869" s="13" t="s">
        <v>1580</v>
      </c>
      <c r="C1869" s="79" t="s">
        <v>1581</v>
      </c>
      <c r="D1869" s="13" t="s">
        <v>1150</v>
      </c>
      <c r="E1869" s="13" t="s">
        <v>426</v>
      </c>
      <c r="F1869" s="13">
        <v>21600.0</v>
      </c>
    </row>
    <row r="1870">
      <c r="F1870" s="13"/>
    </row>
    <row r="1871">
      <c r="B1871" s="13" t="s">
        <v>1582</v>
      </c>
      <c r="C1871" s="79" t="s">
        <v>1583</v>
      </c>
      <c r="D1871" s="13" t="s">
        <v>1326</v>
      </c>
      <c r="E1871" s="13" t="s">
        <v>426</v>
      </c>
      <c r="F1871" s="13">
        <v>3000.0</v>
      </c>
    </row>
    <row r="1872">
      <c r="D1872" s="13" t="s">
        <v>1584</v>
      </c>
      <c r="E1872" s="13" t="s">
        <v>426</v>
      </c>
      <c r="F1872" s="13">
        <v>7700.0</v>
      </c>
    </row>
    <row r="1873">
      <c r="F1873" s="13"/>
    </row>
    <row r="1874">
      <c r="A1874" s="13" t="s">
        <v>1585</v>
      </c>
      <c r="C1874" s="79" t="s">
        <v>1586</v>
      </c>
    </row>
    <row r="1875">
      <c r="D1875" s="13" t="s">
        <v>983</v>
      </c>
      <c r="E1875" s="13" t="s">
        <v>426</v>
      </c>
      <c r="F1875" s="13">
        <v>14000.0</v>
      </c>
    </row>
    <row r="1876">
      <c r="F1876" s="13"/>
    </row>
    <row r="1877">
      <c r="A1877" s="13" t="s">
        <v>1587</v>
      </c>
      <c r="C1877" s="79" t="s">
        <v>1588</v>
      </c>
      <c r="D1877" s="13" t="s">
        <v>924</v>
      </c>
      <c r="E1877" s="13" t="s">
        <v>426</v>
      </c>
      <c r="F1877" s="13">
        <v>4400.0</v>
      </c>
    </row>
    <row r="1878">
      <c r="F1878" s="13"/>
    </row>
    <row r="1879">
      <c r="A1879" s="13" t="s">
        <v>811</v>
      </c>
      <c r="C1879" s="90" t="s">
        <v>1589</v>
      </c>
      <c r="D1879" s="91" t="s">
        <v>822</v>
      </c>
      <c r="E1879" s="91" t="s">
        <v>426</v>
      </c>
      <c r="F1879" s="21">
        <v>17000.0</v>
      </c>
    </row>
    <row r="1880">
      <c r="C1880" s="28"/>
      <c r="D1880" s="91"/>
      <c r="E1880" s="91"/>
      <c r="F1880" s="91"/>
    </row>
    <row r="1881">
      <c r="C1881" s="28"/>
      <c r="D1881" s="91"/>
      <c r="E1881" s="91"/>
      <c r="F1881" s="91"/>
    </row>
    <row r="1882">
      <c r="A1882" s="13" t="s">
        <v>1590</v>
      </c>
      <c r="C1882" s="90" t="s">
        <v>1231</v>
      </c>
      <c r="D1882" s="91" t="s">
        <v>915</v>
      </c>
      <c r="E1882" s="91" t="s">
        <v>426</v>
      </c>
      <c r="F1882" s="92">
        <v>9300.0</v>
      </c>
    </row>
    <row r="1883">
      <c r="C1883" s="28"/>
      <c r="D1883" s="91" t="s">
        <v>574</v>
      </c>
      <c r="E1883" s="91" t="s">
        <v>426</v>
      </c>
      <c r="F1883" s="92"/>
      <c r="H1883" s="13" t="s">
        <v>1014</v>
      </c>
    </row>
    <row r="1884">
      <c r="C1884" s="28"/>
      <c r="D1884" s="91" t="s">
        <v>908</v>
      </c>
      <c r="E1884" s="91" t="s">
        <v>426</v>
      </c>
      <c r="F1884" s="92">
        <v>7500.0</v>
      </c>
    </row>
    <row r="1885">
      <c r="C1885" s="28"/>
      <c r="D1885" s="91" t="s">
        <v>630</v>
      </c>
      <c r="E1885" s="91" t="s">
        <v>426</v>
      </c>
      <c r="F1885" s="92">
        <v>7500.0</v>
      </c>
    </row>
    <row r="1886">
      <c r="C1886" s="28"/>
      <c r="D1886" s="91"/>
      <c r="E1886" s="91"/>
      <c r="F1886" s="91"/>
    </row>
    <row r="1887">
      <c r="A1887" s="13" t="s">
        <v>811</v>
      </c>
      <c r="C1887" s="95" t="s">
        <v>825</v>
      </c>
      <c r="D1887" s="21" t="s">
        <v>822</v>
      </c>
      <c r="E1887" s="21" t="s">
        <v>426</v>
      </c>
      <c r="F1887" s="21">
        <v>17000.0</v>
      </c>
    </row>
    <row r="1888">
      <c r="D1888" s="13" t="s">
        <v>595</v>
      </c>
      <c r="E1888" s="13" t="s">
        <v>426</v>
      </c>
      <c r="F1888" s="13">
        <v>4400.0</v>
      </c>
    </row>
    <row r="1889">
      <c r="D1889" s="13" t="s">
        <v>1591</v>
      </c>
      <c r="E1889" s="13" t="s">
        <v>426</v>
      </c>
      <c r="F1889" s="13">
        <v>13000.0</v>
      </c>
    </row>
    <row r="1890">
      <c r="D1890" s="13"/>
      <c r="E1890" s="13"/>
      <c r="F1890" s="13"/>
    </row>
    <row r="1891">
      <c r="A1891" s="13" t="s">
        <v>811</v>
      </c>
      <c r="C1891" s="79" t="s">
        <v>1592</v>
      </c>
      <c r="D1891" s="13" t="s">
        <v>1593</v>
      </c>
      <c r="E1891" s="13" t="s">
        <v>426</v>
      </c>
      <c r="F1891" s="13">
        <v>4400.0</v>
      </c>
    </row>
    <row r="1892">
      <c r="D1892" s="13"/>
      <c r="E1892" s="13"/>
      <c r="F1892" s="13"/>
    </row>
    <row r="1893">
      <c r="D1893" s="13"/>
      <c r="E1893" s="13"/>
      <c r="F1893" s="13"/>
    </row>
    <row r="1894">
      <c r="A1894" s="13" t="s">
        <v>811</v>
      </c>
      <c r="C1894" s="79" t="s">
        <v>1409</v>
      </c>
      <c r="D1894" s="13" t="s">
        <v>1594</v>
      </c>
      <c r="E1894" s="13"/>
      <c r="F1894" s="13">
        <v>2500.0</v>
      </c>
    </row>
    <row r="1895">
      <c r="D1895" s="13" t="s">
        <v>732</v>
      </c>
      <c r="E1895" s="84">
        <v>45689.0</v>
      </c>
      <c r="F1895" s="13">
        <v>6000.0</v>
      </c>
    </row>
    <row r="1896">
      <c r="D1896" s="13"/>
      <c r="E1896" s="13"/>
      <c r="F1896" s="13"/>
    </row>
    <row r="1897">
      <c r="A1897" s="13" t="s">
        <v>811</v>
      </c>
      <c r="C1897" s="79" t="s">
        <v>1595</v>
      </c>
      <c r="D1897" s="13" t="s">
        <v>1275</v>
      </c>
      <c r="E1897" s="13"/>
      <c r="F1897" s="13">
        <v>17500.0</v>
      </c>
    </row>
    <row r="1898">
      <c r="D1898" s="13"/>
      <c r="E1898" s="13"/>
      <c r="F1898" s="13"/>
    </row>
    <row r="1899">
      <c r="D1899" s="13"/>
      <c r="E1899" s="13"/>
      <c r="F1899" s="13"/>
    </row>
    <row r="1900">
      <c r="A1900" s="13" t="s">
        <v>808</v>
      </c>
      <c r="C1900" s="79" t="s">
        <v>1596</v>
      </c>
      <c r="D1900" s="13" t="s">
        <v>607</v>
      </c>
      <c r="E1900" s="13" t="s">
        <v>426</v>
      </c>
      <c r="F1900" s="13">
        <v>9300.0</v>
      </c>
    </row>
    <row r="1901">
      <c r="D1901" s="13" t="s">
        <v>558</v>
      </c>
      <c r="E1901" s="13" t="s">
        <v>426</v>
      </c>
      <c r="F1901" s="13">
        <v>4400.0</v>
      </c>
    </row>
    <row r="1902">
      <c r="D1902" s="13" t="s">
        <v>1594</v>
      </c>
      <c r="E1902" s="13">
        <v>1.0</v>
      </c>
      <c r="F1902" s="13">
        <v>2500.0</v>
      </c>
    </row>
    <row r="1903">
      <c r="D1903" s="13" t="s">
        <v>577</v>
      </c>
      <c r="E1903" s="13" t="s">
        <v>426</v>
      </c>
      <c r="F1903" s="13">
        <v>21600.0</v>
      </c>
    </row>
    <row r="1904">
      <c r="D1904" s="13" t="s">
        <v>630</v>
      </c>
      <c r="E1904" s="84">
        <v>45689.0</v>
      </c>
      <c r="F1904" s="13">
        <v>3750.0</v>
      </c>
    </row>
    <row r="1905">
      <c r="D1905" s="13"/>
      <c r="E1905" s="13"/>
      <c r="F1905" s="13"/>
    </row>
    <row r="1906">
      <c r="A1906" s="13" t="s">
        <v>808</v>
      </c>
      <c r="C1906" s="79" t="s">
        <v>1597</v>
      </c>
      <c r="D1906" s="13" t="s">
        <v>781</v>
      </c>
      <c r="E1906" s="13" t="s">
        <v>426</v>
      </c>
      <c r="F1906" s="13">
        <v>6800.0</v>
      </c>
    </row>
    <row r="1907">
      <c r="D1907" s="13" t="s">
        <v>780</v>
      </c>
      <c r="E1907" s="13" t="s">
        <v>693</v>
      </c>
      <c r="F1907" s="13">
        <v>12000.0</v>
      </c>
    </row>
    <row r="1908">
      <c r="D1908" s="13" t="s">
        <v>823</v>
      </c>
      <c r="E1908" s="13" t="s">
        <v>426</v>
      </c>
      <c r="F1908" s="13">
        <v>3000.0</v>
      </c>
    </row>
    <row r="1909">
      <c r="D1909" s="13"/>
      <c r="E1909" s="13"/>
      <c r="F1909" s="13"/>
    </row>
    <row r="1910">
      <c r="C1910" s="79" t="s">
        <v>1598</v>
      </c>
      <c r="D1910" s="13" t="s">
        <v>1163</v>
      </c>
      <c r="E1910" s="13" t="s">
        <v>426</v>
      </c>
      <c r="F1910" s="13">
        <v>17000.0</v>
      </c>
    </row>
    <row r="1911">
      <c r="D1911" s="13" t="s">
        <v>1599</v>
      </c>
      <c r="E1911" s="13" t="s">
        <v>426</v>
      </c>
      <c r="F1911" s="13">
        <v>17600.0</v>
      </c>
    </row>
    <row r="1912">
      <c r="D1912" s="13" t="s">
        <v>1011</v>
      </c>
      <c r="E1912" s="13" t="s">
        <v>426</v>
      </c>
      <c r="F1912" s="13">
        <v>7500.0</v>
      </c>
    </row>
    <row r="1915">
      <c r="E1915" s="13">
        <v>1.0</v>
      </c>
    </row>
    <row r="1916">
      <c r="F1916" s="13"/>
    </row>
    <row r="1917">
      <c r="A1917" s="13" t="s">
        <v>757</v>
      </c>
      <c r="C1917" s="79" t="s">
        <v>638</v>
      </c>
      <c r="D1917" s="13" t="s">
        <v>780</v>
      </c>
      <c r="E1917" s="13" t="s">
        <v>426</v>
      </c>
      <c r="F1917" s="13">
        <v>12000.0</v>
      </c>
      <c r="G1917" s="13">
        <v>12000.0</v>
      </c>
    </row>
    <row r="1918">
      <c r="C1918" s="13"/>
      <c r="D1918" s="13"/>
      <c r="E1918" s="13"/>
      <c r="F1918" s="13"/>
    </row>
    <row r="1919">
      <c r="B1919" s="13" t="s">
        <v>743</v>
      </c>
      <c r="C1919" s="56" t="s">
        <v>714</v>
      </c>
      <c r="D1919" s="56" t="s">
        <v>1600</v>
      </c>
      <c r="E1919" s="56">
        <v>1.0</v>
      </c>
      <c r="F1919" s="56">
        <v>4050.0</v>
      </c>
    </row>
    <row r="1920">
      <c r="D1920" s="13"/>
      <c r="E1920" s="13"/>
      <c r="F1920" s="13"/>
    </row>
    <row r="1921">
      <c r="B1921" s="13" t="s">
        <v>1601</v>
      </c>
      <c r="C1921" s="79" t="s">
        <v>1454</v>
      </c>
      <c r="D1921" s="13" t="s">
        <v>924</v>
      </c>
      <c r="E1921" s="13" t="s">
        <v>1039</v>
      </c>
      <c r="F1921" s="13">
        <v>4400.0</v>
      </c>
      <c r="G1921" s="13">
        <f>5*F1921</f>
        <v>22000</v>
      </c>
    </row>
    <row r="1922">
      <c r="D1922" s="13" t="s">
        <v>780</v>
      </c>
      <c r="E1922" s="13" t="s">
        <v>426</v>
      </c>
      <c r="F1922" s="13">
        <v>12000.0</v>
      </c>
      <c r="G1922" s="13">
        <v>12000.0</v>
      </c>
    </row>
    <row r="1924">
      <c r="A1924" s="13" t="s">
        <v>783</v>
      </c>
      <c r="C1924" s="79" t="s">
        <v>1602</v>
      </c>
      <c r="D1924" s="13" t="s">
        <v>1603</v>
      </c>
      <c r="E1924" s="13" t="s">
        <v>1039</v>
      </c>
      <c r="F1924" s="13">
        <v>4100.0</v>
      </c>
      <c r="G1924" s="13">
        <v>20500.0</v>
      </c>
    </row>
    <row r="1925">
      <c r="D1925" s="13" t="s">
        <v>1591</v>
      </c>
      <c r="E1925" s="13" t="s">
        <v>426</v>
      </c>
      <c r="F1925" s="13">
        <v>13000.0</v>
      </c>
      <c r="G1925" s="13">
        <v>13000.0</v>
      </c>
    </row>
    <row r="1930">
      <c r="A1930" s="87">
        <v>45957.0</v>
      </c>
      <c r="C1930" s="79" t="s">
        <v>875</v>
      </c>
    </row>
    <row r="1931">
      <c r="D1931" s="13" t="s">
        <v>1604</v>
      </c>
      <c r="E1931" s="13">
        <v>1.0</v>
      </c>
      <c r="F1931" s="13">
        <v>3000.0</v>
      </c>
    </row>
    <row r="1932">
      <c r="D1932" s="13" t="s">
        <v>1605</v>
      </c>
      <c r="E1932" s="13">
        <v>10.0</v>
      </c>
      <c r="F1932" s="13">
        <v>10000.0</v>
      </c>
    </row>
    <row r="1933">
      <c r="F1933" s="13"/>
    </row>
    <row r="1934">
      <c r="C1934" s="79" t="s">
        <v>1606</v>
      </c>
      <c r="D1934" s="13" t="s">
        <v>1607</v>
      </c>
      <c r="E1934" s="13" t="s">
        <v>434</v>
      </c>
      <c r="F1934" s="13">
        <v>22500.0</v>
      </c>
    </row>
    <row r="1935">
      <c r="D1935" s="13" t="s">
        <v>444</v>
      </c>
      <c r="E1935" s="13" t="s">
        <v>426</v>
      </c>
      <c r="F1935" s="13">
        <v>13000.0</v>
      </c>
    </row>
    <row r="1936">
      <c r="D1936" s="13" t="s">
        <v>1608</v>
      </c>
      <c r="E1936" s="13" t="s">
        <v>426</v>
      </c>
      <c r="F1936" s="13">
        <v>10000.0</v>
      </c>
    </row>
    <row r="1937">
      <c r="D1937" s="13" t="s">
        <v>1609</v>
      </c>
      <c r="E1937" s="13" t="s">
        <v>426</v>
      </c>
      <c r="F1937" s="13">
        <v>5000.0</v>
      </c>
    </row>
    <row r="1938">
      <c r="D1938" s="13"/>
      <c r="E1938" s="13"/>
      <c r="F1938" s="13"/>
    </row>
    <row r="1939">
      <c r="C1939" s="14"/>
      <c r="F1939" s="13"/>
    </row>
    <row r="1940">
      <c r="D1940" s="13"/>
      <c r="E1940" s="13"/>
      <c r="F1940" s="13"/>
    </row>
    <row r="1941">
      <c r="D1941" s="13"/>
      <c r="E1941" s="13"/>
      <c r="F1941" s="13"/>
    </row>
    <row r="1942">
      <c r="B1942" s="13" t="s">
        <v>1610</v>
      </c>
      <c r="C1942" s="79" t="s">
        <v>1454</v>
      </c>
      <c r="D1942" s="13" t="s">
        <v>1611</v>
      </c>
      <c r="E1942" s="13" t="s">
        <v>1039</v>
      </c>
      <c r="F1942" s="13">
        <v>4400.0</v>
      </c>
      <c r="G1942" s="13">
        <v>22000.0</v>
      </c>
    </row>
    <row r="1943">
      <c r="D1943" s="13"/>
      <c r="E1943" s="13"/>
      <c r="F1943" s="13"/>
    </row>
    <row r="1944">
      <c r="D1944" s="13"/>
      <c r="E1944" s="13"/>
      <c r="F1944" s="13"/>
    </row>
    <row r="1945">
      <c r="C1945" s="79" t="s">
        <v>1207</v>
      </c>
      <c r="D1945" s="13" t="s">
        <v>1612</v>
      </c>
      <c r="E1945" s="13" t="s">
        <v>426</v>
      </c>
      <c r="F1945" s="13">
        <v>20000.0</v>
      </c>
      <c r="G1945" s="13">
        <v>20000.0</v>
      </c>
    </row>
    <row r="1946">
      <c r="D1946" s="13"/>
      <c r="E1946" s="13"/>
      <c r="F1946" s="13"/>
    </row>
    <row r="1947">
      <c r="D1947" s="13"/>
      <c r="E1947" s="13"/>
      <c r="F1947" s="13"/>
    </row>
    <row r="1948">
      <c r="C1948" s="79" t="s">
        <v>1576</v>
      </c>
      <c r="D1948" s="13" t="s">
        <v>885</v>
      </c>
      <c r="E1948" s="13" t="s">
        <v>426</v>
      </c>
      <c r="F1948" s="13">
        <v>17000.0</v>
      </c>
    </row>
    <row r="1949">
      <c r="D1949" s="13"/>
      <c r="E1949" s="13"/>
      <c r="F1949" s="13"/>
    </row>
    <row r="1950">
      <c r="D1950" s="13"/>
      <c r="E1950" s="13"/>
      <c r="F1950" s="13"/>
    </row>
    <row r="1951">
      <c r="B1951" s="13" t="s">
        <v>757</v>
      </c>
      <c r="C1951" s="79" t="s">
        <v>745</v>
      </c>
      <c r="D1951" s="13" t="s">
        <v>430</v>
      </c>
      <c r="E1951" s="13" t="s">
        <v>1039</v>
      </c>
      <c r="F1951" s="13">
        <v>4400.0</v>
      </c>
      <c r="G1951" s="13">
        <v>22000.0</v>
      </c>
    </row>
    <row r="1952">
      <c r="D1952" s="13"/>
      <c r="E1952" s="13"/>
      <c r="F1952" s="13"/>
    </row>
    <row r="1953">
      <c r="B1953" s="13" t="s">
        <v>757</v>
      </c>
      <c r="C1953" s="79" t="s">
        <v>1613</v>
      </c>
      <c r="D1953" s="13" t="s">
        <v>1614</v>
      </c>
      <c r="E1953" s="13">
        <v>1.0</v>
      </c>
      <c r="F1953" s="13">
        <v>3600.0</v>
      </c>
    </row>
    <row r="1954">
      <c r="D1954" s="13" t="s">
        <v>1615</v>
      </c>
      <c r="E1954" s="13" t="s">
        <v>426</v>
      </c>
      <c r="F1954" s="13">
        <v>18000.0</v>
      </c>
    </row>
    <row r="1955">
      <c r="D1955" s="13" t="s">
        <v>1616</v>
      </c>
      <c r="E1955" s="13">
        <v>1.0</v>
      </c>
      <c r="F1955" s="13">
        <v>4000.0</v>
      </c>
    </row>
    <row r="1956">
      <c r="D1956" s="13"/>
      <c r="E1956" s="13"/>
      <c r="F1956" s="13"/>
    </row>
    <row r="1957">
      <c r="B1957" s="13" t="s">
        <v>757</v>
      </c>
      <c r="C1957" s="79" t="s">
        <v>1578</v>
      </c>
      <c r="D1957" s="13" t="s">
        <v>1617</v>
      </c>
      <c r="E1957" s="13">
        <v>1.0</v>
      </c>
      <c r="F1957" s="13">
        <v>4200.0</v>
      </c>
    </row>
    <row r="1958">
      <c r="D1958" s="13"/>
      <c r="E1958" s="13"/>
      <c r="F1958" s="13"/>
    </row>
    <row r="1959">
      <c r="A1959" s="13" t="s">
        <v>811</v>
      </c>
      <c r="C1959" s="79" t="s">
        <v>1618</v>
      </c>
      <c r="D1959" s="13" t="s">
        <v>924</v>
      </c>
      <c r="E1959" s="13" t="s">
        <v>1619</v>
      </c>
      <c r="F1959" s="13"/>
    </row>
    <row r="1960">
      <c r="D1960" s="13"/>
      <c r="E1960" s="13"/>
      <c r="F1960" s="13"/>
    </row>
    <row r="1961">
      <c r="C1961" s="79" t="s">
        <v>1620</v>
      </c>
      <c r="D1961" s="13" t="s">
        <v>728</v>
      </c>
      <c r="E1961" s="13" t="s">
        <v>426</v>
      </c>
      <c r="F1961" s="13">
        <v>23000.0</v>
      </c>
    </row>
    <row r="1962">
      <c r="D1962" s="13" t="s">
        <v>780</v>
      </c>
      <c r="E1962" s="13" t="s">
        <v>426</v>
      </c>
      <c r="F1962" s="13">
        <v>12000.0</v>
      </c>
    </row>
    <row r="1963">
      <c r="D1963" s="13" t="s">
        <v>1621</v>
      </c>
      <c r="E1963" s="13" t="s">
        <v>426</v>
      </c>
      <c r="F1963" s="13">
        <v>29000.0</v>
      </c>
    </row>
    <row r="1964">
      <c r="F1964" s="13"/>
    </row>
    <row r="1965">
      <c r="B1965" s="100"/>
      <c r="C1965" s="100"/>
      <c r="D1965" s="81"/>
      <c r="E1965" s="81"/>
      <c r="F1965" s="81"/>
      <c r="G1965" s="100"/>
    </row>
    <row r="1966">
      <c r="A1966" s="78">
        <v>45964.0</v>
      </c>
      <c r="C1966" s="79" t="s">
        <v>1622</v>
      </c>
      <c r="D1966" s="13" t="s">
        <v>533</v>
      </c>
      <c r="E1966" s="13" t="s">
        <v>426</v>
      </c>
      <c r="F1966" s="13">
        <v>3000.0</v>
      </c>
      <c r="G1966" s="13">
        <v>3000.0</v>
      </c>
    </row>
    <row r="1967">
      <c r="D1967" s="13" t="s">
        <v>640</v>
      </c>
      <c r="E1967" s="13" t="s">
        <v>426</v>
      </c>
      <c r="F1967" s="13">
        <v>6300.0</v>
      </c>
      <c r="G1967" s="13">
        <v>6300.0</v>
      </c>
    </row>
    <row r="1968">
      <c r="D1968" s="13" t="s">
        <v>559</v>
      </c>
      <c r="E1968" s="13" t="s">
        <v>426</v>
      </c>
      <c r="F1968" s="13">
        <v>15600.0</v>
      </c>
      <c r="G1968" s="13">
        <v>15600.0</v>
      </c>
    </row>
    <row r="1969">
      <c r="D1969" s="13" t="s">
        <v>1623</v>
      </c>
      <c r="E1969" s="13">
        <v>3.0</v>
      </c>
      <c r="F1969" s="13">
        <v>7500.0</v>
      </c>
      <c r="G1969" s="13">
        <v>7500.0</v>
      </c>
    </row>
    <row r="1970">
      <c r="D1970" s="13"/>
      <c r="E1970" s="13"/>
      <c r="F1970" s="13"/>
    </row>
    <row r="1971">
      <c r="D1971" s="13"/>
      <c r="E1971" s="13"/>
      <c r="F1971" s="13"/>
    </row>
    <row r="1972">
      <c r="D1972" s="13"/>
      <c r="E1972" s="13"/>
      <c r="F1972" s="13"/>
    </row>
    <row r="1973">
      <c r="C1973" s="79" t="s">
        <v>1624</v>
      </c>
      <c r="D1973" s="13" t="s">
        <v>1625</v>
      </c>
      <c r="E1973" s="13">
        <v>2.0</v>
      </c>
      <c r="F1973" s="13">
        <v>10000.0</v>
      </c>
      <c r="G1973" s="13">
        <v>20000.0</v>
      </c>
    </row>
    <row r="1974">
      <c r="D1974" s="13" t="s">
        <v>955</v>
      </c>
      <c r="E1974" s="13" t="s">
        <v>429</v>
      </c>
      <c r="F1974" s="13">
        <v>6500.0</v>
      </c>
      <c r="G1974" s="13">
        <v>13000.0</v>
      </c>
    </row>
    <row r="1975">
      <c r="D1975" s="13"/>
      <c r="E1975" s="13"/>
      <c r="F1975" s="13"/>
    </row>
    <row r="1976">
      <c r="C1976" s="79" t="s">
        <v>1149</v>
      </c>
      <c r="D1976" s="13" t="s">
        <v>1626</v>
      </c>
      <c r="E1976" s="13">
        <v>1.0</v>
      </c>
      <c r="F1976" s="13">
        <v>3000.0</v>
      </c>
      <c r="G1976" s="13">
        <v>3000.0</v>
      </c>
    </row>
    <row r="1977">
      <c r="D1977" s="13" t="s">
        <v>1627</v>
      </c>
      <c r="E1977" s="13">
        <v>10.0</v>
      </c>
      <c r="F1977" s="13">
        <v>1000.0</v>
      </c>
      <c r="G1977" s="13">
        <v>10000.0</v>
      </c>
    </row>
    <row r="1978">
      <c r="D1978" s="13"/>
      <c r="E1978" s="13"/>
      <c r="F1978" s="13"/>
    </row>
    <row r="1979">
      <c r="B1979" s="13" t="s">
        <v>808</v>
      </c>
      <c r="C1979" s="79" t="s">
        <v>866</v>
      </c>
      <c r="D1979" s="13" t="s">
        <v>869</v>
      </c>
      <c r="E1979" s="13" t="s">
        <v>426</v>
      </c>
      <c r="F1979" s="13">
        <v>1700.0</v>
      </c>
    </row>
    <row r="1980">
      <c r="D1980" s="13" t="s">
        <v>964</v>
      </c>
      <c r="E1980" s="13" t="s">
        <v>426</v>
      </c>
      <c r="F1980" s="13">
        <v>8500.0</v>
      </c>
    </row>
    <row r="1981">
      <c r="D1981" s="13" t="s">
        <v>823</v>
      </c>
      <c r="E1981" s="13" t="s">
        <v>727</v>
      </c>
      <c r="F1981" s="13">
        <v>1700.0</v>
      </c>
    </row>
    <row r="1982">
      <c r="D1982" s="13" t="s">
        <v>842</v>
      </c>
      <c r="E1982" s="13" t="s">
        <v>426</v>
      </c>
      <c r="F1982" s="13">
        <v>5800.0</v>
      </c>
    </row>
    <row r="1983">
      <c r="D1983" s="13" t="s">
        <v>758</v>
      </c>
      <c r="E1983" s="13" t="s">
        <v>426</v>
      </c>
      <c r="F1983" s="13">
        <v>4400.0</v>
      </c>
    </row>
    <row r="1984">
      <c r="D1984" s="13" t="s">
        <v>1628</v>
      </c>
      <c r="E1984" s="13">
        <v>1.0</v>
      </c>
      <c r="F1984" s="13">
        <v>4200.0</v>
      </c>
    </row>
    <row r="1985">
      <c r="D1985" s="13"/>
      <c r="E1985" s="13"/>
      <c r="F1985" s="13"/>
    </row>
    <row r="1986">
      <c r="C1986" s="79" t="s">
        <v>501</v>
      </c>
      <c r="D1986" s="13" t="s">
        <v>1629</v>
      </c>
      <c r="E1986" s="13" t="s">
        <v>426</v>
      </c>
      <c r="F1986" s="13">
        <v>7000.0</v>
      </c>
    </row>
    <row r="1987">
      <c r="D1987" s="13" t="s">
        <v>1357</v>
      </c>
      <c r="E1987" s="13" t="s">
        <v>426</v>
      </c>
      <c r="F1987" s="13">
        <v>17000.0</v>
      </c>
    </row>
    <row r="1988">
      <c r="D1988" s="13" t="s">
        <v>630</v>
      </c>
      <c r="E1988" s="13" t="s">
        <v>727</v>
      </c>
      <c r="F1988" s="13">
        <v>4500.0</v>
      </c>
    </row>
    <row r="1989">
      <c r="D1989" s="13" t="s">
        <v>1630</v>
      </c>
      <c r="E1989" s="13" t="s">
        <v>727</v>
      </c>
      <c r="F1989" s="13">
        <v>1300.0</v>
      </c>
    </row>
    <row r="1990">
      <c r="D1990" s="13"/>
      <c r="E1990" s="13"/>
      <c r="F1990" s="13"/>
    </row>
    <row r="1991">
      <c r="D1991" s="13"/>
      <c r="E1991" s="13"/>
      <c r="F1991" s="13"/>
    </row>
    <row r="1992">
      <c r="B1992" s="13" t="s">
        <v>1631</v>
      </c>
      <c r="C1992" s="79" t="s">
        <v>1210</v>
      </c>
      <c r="D1992" s="13" t="s">
        <v>640</v>
      </c>
      <c r="E1992" s="13" t="s">
        <v>426</v>
      </c>
      <c r="F1992" s="13">
        <v>6300.0</v>
      </c>
    </row>
    <row r="1993">
      <c r="D1993" s="13"/>
      <c r="E1993" s="13"/>
      <c r="F1993" s="13"/>
    </row>
    <row r="1994">
      <c r="D1994" s="13"/>
      <c r="E1994" s="13"/>
      <c r="F1994" s="13"/>
    </row>
    <row r="1995">
      <c r="C1995" s="79" t="s">
        <v>1632</v>
      </c>
      <c r="D1995" s="13" t="s">
        <v>558</v>
      </c>
      <c r="E1995" s="13" t="s">
        <v>429</v>
      </c>
      <c r="F1995" s="13"/>
    </row>
    <row r="1996">
      <c r="D1996" s="13"/>
      <c r="E1996" s="13"/>
      <c r="F1996" s="13"/>
    </row>
    <row r="1997">
      <c r="B1997" s="13" t="s">
        <v>811</v>
      </c>
      <c r="C1997" s="79" t="s">
        <v>1633</v>
      </c>
      <c r="D1997" s="13" t="s">
        <v>1634</v>
      </c>
      <c r="E1997" s="13" t="s">
        <v>426</v>
      </c>
      <c r="F1997" s="13">
        <v>11700.0</v>
      </c>
    </row>
    <row r="1998">
      <c r="D1998" s="13"/>
      <c r="E1998" s="13"/>
      <c r="F1998" s="13"/>
    </row>
    <row r="1999">
      <c r="B1999" s="13" t="s">
        <v>811</v>
      </c>
      <c r="C1999" s="79" t="s">
        <v>935</v>
      </c>
      <c r="D1999" s="13" t="s">
        <v>908</v>
      </c>
      <c r="E1999" s="13" t="s">
        <v>426</v>
      </c>
      <c r="F1999" s="13">
        <v>7500.0</v>
      </c>
    </row>
    <row r="2000">
      <c r="D2000" s="13"/>
      <c r="E2000" s="13"/>
      <c r="F2000" s="13"/>
    </row>
    <row r="2001">
      <c r="B2001" s="13" t="s">
        <v>811</v>
      </c>
      <c r="C2001" s="79" t="s">
        <v>1635</v>
      </c>
      <c r="D2001" s="13" t="s">
        <v>448</v>
      </c>
      <c r="E2001" s="13" t="s">
        <v>426</v>
      </c>
      <c r="F2001" s="13">
        <v>40200.0</v>
      </c>
    </row>
    <row r="2002">
      <c r="D2002" s="13" t="s">
        <v>810</v>
      </c>
      <c r="E2002" s="13" t="s">
        <v>426</v>
      </c>
      <c r="F2002" s="13">
        <v>20000.0</v>
      </c>
    </row>
    <row r="2003">
      <c r="D2003" s="13" t="s">
        <v>590</v>
      </c>
      <c r="E2003" s="13" t="s">
        <v>426</v>
      </c>
      <c r="F2003" s="13">
        <v>3000.0</v>
      </c>
    </row>
    <row r="2004">
      <c r="D2004" s="13" t="s">
        <v>908</v>
      </c>
      <c r="E2004" s="13" t="s">
        <v>426</v>
      </c>
      <c r="F2004" s="13">
        <v>7500.0</v>
      </c>
    </row>
    <row r="2005">
      <c r="D2005" s="13" t="s">
        <v>558</v>
      </c>
      <c r="E2005" s="13" t="s">
        <v>426</v>
      </c>
      <c r="F2005" s="13">
        <v>4400.0</v>
      </c>
    </row>
    <row r="2006">
      <c r="D2006" s="13" t="s">
        <v>882</v>
      </c>
      <c r="E2006" s="13" t="s">
        <v>426</v>
      </c>
      <c r="F2006" s="13">
        <v>1800.0</v>
      </c>
    </row>
    <row r="2007">
      <c r="C2007" s="14"/>
      <c r="D2007" s="13"/>
      <c r="E2007" s="13"/>
      <c r="F2007" s="13"/>
    </row>
    <row r="2008">
      <c r="B2008" s="13" t="s">
        <v>811</v>
      </c>
      <c r="C2008" s="79" t="s">
        <v>1027</v>
      </c>
      <c r="D2008" s="13" t="s">
        <v>574</v>
      </c>
      <c r="E2008" s="13" t="s">
        <v>426</v>
      </c>
      <c r="F2008" s="13">
        <v>7000.0</v>
      </c>
    </row>
    <row r="2009">
      <c r="D2009" s="13"/>
      <c r="E2009" s="13"/>
      <c r="F2009" s="13"/>
    </row>
    <row r="2010">
      <c r="B2010" s="13" t="s">
        <v>1558</v>
      </c>
      <c r="C2010" s="79" t="s">
        <v>542</v>
      </c>
      <c r="D2010" s="13" t="s">
        <v>558</v>
      </c>
      <c r="E2010" s="13" t="s">
        <v>429</v>
      </c>
      <c r="F2010" s="13">
        <v>6600.0</v>
      </c>
    </row>
    <row r="2011">
      <c r="D2011" s="13" t="s">
        <v>1101</v>
      </c>
      <c r="E2011" s="13" t="s">
        <v>426</v>
      </c>
      <c r="F2011" s="13">
        <v>15600.0</v>
      </c>
    </row>
    <row r="2012">
      <c r="D2012" s="13" t="s">
        <v>1128</v>
      </c>
      <c r="E2012" s="13" t="s">
        <v>426</v>
      </c>
      <c r="F2012" s="13">
        <v>13900.0</v>
      </c>
    </row>
    <row r="2013">
      <c r="D2013" s="13" t="s">
        <v>551</v>
      </c>
      <c r="E2013" s="13" t="s">
        <v>426</v>
      </c>
      <c r="F2013" s="13">
        <v>19200.0</v>
      </c>
    </row>
    <row r="2014">
      <c r="D2014" s="13" t="s">
        <v>606</v>
      </c>
      <c r="E2014" s="13" t="s">
        <v>426</v>
      </c>
      <c r="F2014" s="13">
        <v>5200.0</v>
      </c>
    </row>
    <row r="2015">
      <c r="D2015" s="13"/>
      <c r="E2015" s="13"/>
      <c r="F2015" s="13"/>
    </row>
    <row r="2016">
      <c r="C2016" s="79" t="s">
        <v>638</v>
      </c>
      <c r="D2016" s="13" t="s">
        <v>640</v>
      </c>
      <c r="E2016" s="13" t="s">
        <v>426</v>
      </c>
      <c r="F2016" s="13">
        <v>6300.0</v>
      </c>
    </row>
    <row r="2017">
      <c r="D2017" s="13" t="s">
        <v>758</v>
      </c>
      <c r="E2017" s="13" t="s">
        <v>426</v>
      </c>
      <c r="F2017" s="13">
        <v>4400.0</v>
      </c>
    </row>
    <row r="2018">
      <c r="D2018" s="13" t="s">
        <v>1522</v>
      </c>
      <c r="E2018" s="13">
        <v>1.0</v>
      </c>
      <c r="F2018" s="13">
        <v>2500.0</v>
      </c>
    </row>
    <row r="2019">
      <c r="D2019" s="13" t="s">
        <v>1636</v>
      </c>
      <c r="E2019" s="13" t="s">
        <v>727</v>
      </c>
      <c r="F2019" s="13">
        <v>3500.0</v>
      </c>
    </row>
    <row r="2020">
      <c r="D2020" s="13"/>
      <c r="E2020" s="13"/>
      <c r="F2020" s="13"/>
    </row>
    <row r="2021">
      <c r="C2021" s="79" t="s">
        <v>482</v>
      </c>
      <c r="D2021" s="13" t="s">
        <v>924</v>
      </c>
      <c r="E2021" s="13" t="s">
        <v>434</v>
      </c>
      <c r="F2021" s="13">
        <v>4400.0</v>
      </c>
    </row>
    <row r="2022">
      <c r="D2022" s="13" t="s">
        <v>911</v>
      </c>
      <c r="E2022" s="13" t="s">
        <v>426</v>
      </c>
      <c r="F2022" s="13">
        <v>12000.0</v>
      </c>
    </row>
    <row r="2023">
      <c r="D2023" s="13" t="s">
        <v>1637</v>
      </c>
      <c r="E2023" s="13" t="s">
        <v>426</v>
      </c>
      <c r="F2023" s="13">
        <v>11000.0</v>
      </c>
    </row>
    <row r="2024">
      <c r="D2024" s="13"/>
      <c r="E2024" s="13"/>
      <c r="F2024" s="13"/>
    </row>
    <row r="2025">
      <c r="D2025" s="13"/>
      <c r="E2025" s="13"/>
      <c r="F2025" s="13"/>
    </row>
    <row r="2026">
      <c r="B2026" s="13" t="s">
        <v>743</v>
      </c>
      <c r="C2026" s="56" t="s">
        <v>714</v>
      </c>
      <c r="D2026" s="56" t="s">
        <v>1270</v>
      </c>
      <c r="E2026" s="56" t="s">
        <v>426</v>
      </c>
      <c r="F2026" s="56">
        <v>14000.0</v>
      </c>
    </row>
    <row r="2027">
      <c r="C2027" s="99"/>
      <c r="D2027" s="56" t="s">
        <v>1053</v>
      </c>
      <c r="E2027" s="56" t="s">
        <v>426</v>
      </c>
      <c r="F2027" s="56">
        <v>18000.0</v>
      </c>
    </row>
    <row r="2028">
      <c r="C2028" s="99"/>
      <c r="D2028" s="56" t="s">
        <v>908</v>
      </c>
      <c r="E2028" s="56" t="s">
        <v>426</v>
      </c>
      <c r="F2028" s="56">
        <v>5500.0</v>
      </c>
    </row>
    <row r="2029">
      <c r="C2029" s="99"/>
      <c r="D2029" s="99"/>
      <c r="E2029" s="99"/>
      <c r="F2029" s="56"/>
    </row>
    <row r="2030">
      <c r="C2030" s="99"/>
      <c r="D2030" s="56" t="s">
        <v>1638</v>
      </c>
      <c r="E2030" s="56">
        <v>2.0</v>
      </c>
      <c r="F2030" s="56">
        <v>3000.0</v>
      </c>
    </row>
    <row r="2031">
      <c r="C2031" s="99"/>
      <c r="D2031" s="56" t="s">
        <v>1639</v>
      </c>
      <c r="E2031" s="56" t="s">
        <v>1058</v>
      </c>
      <c r="F2031" s="56">
        <v>15000.0</v>
      </c>
    </row>
    <row r="2032">
      <c r="D2032" s="13"/>
      <c r="E2032" s="13"/>
      <c r="F2032" s="13"/>
    </row>
    <row r="2033">
      <c r="C2033" s="79" t="s">
        <v>1640</v>
      </c>
      <c r="D2033" s="13" t="s">
        <v>924</v>
      </c>
      <c r="E2033" s="13" t="s">
        <v>429</v>
      </c>
      <c r="F2033" s="13">
        <v>4400.0</v>
      </c>
      <c r="G2033" s="13">
        <v>8800.0</v>
      </c>
    </row>
    <row r="2034">
      <c r="D2034" s="13" t="s">
        <v>842</v>
      </c>
      <c r="E2034" s="13" t="s">
        <v>426</v>
      </c>
      <c r="F2034" s="13">
        <v>5800.0</v>
      </c>
      <c r="G2034" s="13">
        <v>5800.0</v>
      </c>
    </row>
    <row r="2035">
      <c r="D2035" s="13" t="s">
        <v>1641</v>
      </c>
      <c r="E2035" s="13">
        <v>1.0</v>
      </c>
      <c r="F2035" s="13">
        <v>4000.0</v>
      </c>
      <c r="G2035" s="13">
        <v>4000.0</v>
      </c>
    </row>
    <row r="2036">
      <c r="D2036" s="13" t="s">
        <v>1642</v>
      </c>
      <c r="E2036" s="13">
        <v>1.0</v>
      </c>
      <c r="F2036" s="13">
        <v>5000.0</v>
      </c>
      <c r="G2036" s="13">
        <v>5000.0</v>
      </c>
    </row>
    <row r="2037">
      <c r="D2037" s="13" t="s">
        <v>732</v>
      </c>
      <c r="E2037" s="13" t="s">
        <v>426</v>
      </c>
      <c r="F2037" s="13">
        <v>12000.0</v>
      </c>
      <c r="G2037" s="13">
        <v>12000.0</v>
      </c>
    </row>
    <row r="2038">
      <c r="D2038" s="13"/>
      <c r="E2038" s="13"/>
      <c r="F2038" s="13"/>
    </row>
    <row r="2039">
      <c r="B2039" s="13" t="s">
        <v>1643</v>
      </c>
      <c r="C2039" s="43"/>
      <c r="D2039" s="13" t="s">
        <v>535</v>
      </c>
      <c r="E2039" s="13" t="s">
        <v>426</v>
      </c>
      <c r="F2039" s="13">
        <v>4400.0</v>
      </c>
      <c r="G2039" s="13">
        <v>4400.0</v>
      </c>
    </row>
    <row r="2040">
      <c r="D2040" s="13"/>
      <c r="E2040" s="13"/>
      <c r="F2040" s="13"/>
    </row>
    <row r="2041">
      <c r="D2041" s="13"/>
      <c r="E2041" s="13"/>
      <c r="F2041" s="13"/>
    </row>
    <row r="2042">
      <c r="D2042" s="13"/>
      <c r="E2042" s="13"/>
      <c r="F2042" s="13"/>
    </row>
    <row r="2043">
      <c r="D2043" s="13"/>
      <c r="E2043" s="13"/>
      <c r="F2043" s="13"/>
    </row>
    <row r="2044">
      <c r="D2044" s="13"/>
      <c r="E2044" s="13"/>
      <c r="F2044" s="13"/>
    </row>
    <row r="2045">
      <c r="D2045" s="13"/>
      <c r="E2045" s="13"/>
      <c r="F2045" s="13"/>
    </row>
    <row r="2046">
      <c r="D2046" s="13"/>
      <c r="E2046" s="13"/>
      <c r="F2046" s="13"/>
    </row>
    <row r="2047">
      <c r="D2047" s="13"/>
      <c r="E2047" s="13"/>
      <c r="F2047" s="13"/>
    </row>
    <row r="2048">
      <c r="D2048" s="13"/>
      <c r="E2048" s="13"/>
      <c r="F2048" s="13"/>
    </row>
    <row r="2049">
      <c r="A2049" s="87">
        <v>45970.0</v>
      </c>
      <c r="B2049" s="13" t="s">
        <v>1644</v>
      </c>
      <c r="C2049" s="79" t="s">
        <v>1645</v>
      </c>
      <c r="D2049" s="13" t="s">
        <v>1646</v>
      </c>
      <c r="E2049" s="13"/>
      <c r="F2049" s="13">
        <v>6500.0</v>
      </c>
    </row>
    <row r="2050">
      <c r="D2050" s="13" t="s">
        <v>558</v>
      </c>
      <c r="E2050" s="13"/>
      <c r="F2050" s="13">
        <v>4400.0</v>
      </c>
    </row>
    <row r="2051">
      <c r="D2051" s="13" t="s">
        <v>1647</v>
      </c>
      <c r="E2051" s="13"/>
      <c r="F2051" s="13">
        <v>5500.0</v>
      </c>
    </row>
    <row r="2052">
      <c r="D2052" s="13" t="s">
        <v>446</v>
      </c>
      <c r="E2052" s="13"/>
      <c r="F2052" s="13">
        <v>3600.0</v>
      </c>
    </row>
    <row r="2053">
      <c r="D2053" s="13"/>
      <c r="E2053" s="13"/>
      <c r="F2053" s="13"/>
    </row>
    <row r="2054">
      <c r="B2054" s="13" t="s">
        <v>1648</v>
      </c>
      <c r="C2054" s="79" t="s">
        <v>1649</v>
      </c>
      <c r="D2054" s="13" t="s">
        <v>1650</v>
      </c>
      <c r="E2054" s="13">
        <v>2.0</v>
      </c>
      <c r="F2054" s="13">
        <v>4200.0</v>
      </c>
      <c r="G2054" s="13">
        <v>8400.0</v>
      </c>
    </row>
    <row r="2055">
      <c r="D2055" s="13" t="s">
        <v>1651</v>
      </c>
      <c r="E2055" s="13" t="s">
        <v>426</v>
      </c>
      <c r="F2055" s="13">
        <v>5700.0</v>
      </c>
      <c r="G2055" s="13">
        <v>5700.0</v>
      </c>
    </row>
    <row r="2056">
      <c r="D2056" s="13"/>
      <c r="E2056" s="13"/>
      <c r="F2056" s="13"/>
    </row>
    <row r="2057">
      <c r="D2057" s="13"/>
      <c r="E2057" s="13"/>
      <c r="F2057" s="13"/>
    </row>
    <row r="2058">
      <c r="B2058" s="13" t="s">
        <v>1652</v>
      </c>
      <c r="C2058" s="79" t="s">
        <v>1653</v>
      </c>
      <c r="D2058" s="13" t="s">
        <v>1654</v>
      </c>
      <c r="E2058" s="13" t="s">
        <v>426</v>
      </c>
      <c r="F2058" s="13">
        <v>6000.0</v>
      </c>
      <c r="G2058" s="13">
        <v>6000.0</v>
      </c>
    </row>
    <row r="2059">
      <c r="D2059" s="13" t="s">
        <v>1522</v>
      </c>
      <c r="E2059" s="13">
        <v>1.0</v>
      </c>
      <c r="F2059" s="13">
        <v>2500.0</v>
      </c>
      <c r="G2059" s="13">
        <v>2500.0</v>
      </c>
    </row>
    <row r="2060">
      <c r="D2060" s="13"/>
      <c r="E2060" s="13"/>
      <c r="F2060" s="13"/>
    </row>
    <row r="2061">
      <c r="D2061" s="13"/>
      <c r="E2061" s="13"/>
      <c r="F2061" s="13"/>
    </row>
    <row r="2062">
      <c r="B2062" s="13" t="s">
        <v>811</v>
      </c>
      <c r="C2062" s="79" t="s">
        <v>1655</v>
      </c>
      <c r="D2062" s="13" t="s">
        <v>822</v>
      </c>
      <c r="E2062" s="13"/>
      <c r="F2062" s="13"/>
    </row>
    <row r="2063">
      <c r="D2063" s="13"/>
      <c r="E2063" s="13"/>
      <c r="F2063" s="13"/>
    </row>
    <row r="2064">
      <c r="B2064" s="13" t="s">
        <v>811</v>
      </c>
      <c r="C2064" s="79" t="s">
        <v>1656</v>
      </c>
      <c r="D2064" s="13" t="s">
        <v>732</v>
      </c>
      <c r="E2064" s="13" t="s">
        <v>426</v>
      </c>
      <c r="F2064" s="13">
        <v>12000.0</v>
      </c>
    </row>
    <row r="2065">
      <c r="D2065" s="13" t="s">
        <v>1657</v>
      </c>
      <c r="E2065" s="13" t="s">
        <v>426</v>
      </c>
      <c r="F2065" s="13">
        <v>6000.0</v>
      </c>
    </row>
    <row r="2066">
      <c r="D2066" s="13"/>
      <c r="E2066" s="13"/>
      <c r="F2066" s="13"/>
    </row>
    <row r="2067">
      <c r="D2067" s="13"/>
      <c r="E2067" s="13"/>
      <c r="F2067" s="13"/>
    </row>
    <row r="2068">
      <c r="B2068" s="13" t="s">
        <v>811</v>
      </c>
      <c r="C2068" s="79" t="s">
        <v>1658</v>
      </c>
      <c r="D2068" s="13" t="s">
        <v>659</v>
      </c>
      <c r="E2068" s="13" t="s">
        <v>426</v>
      </c>
      <c r="F2068" s="13">
        <v>4100.0</v>
      </c>
      <c r="G2068" s="13">
        <v>4100.0</v>
      </c>
    </row>
    <row r="2069">
      <c r="D2069" s="13" t="s">
        <v>444</v>
      </c>
      <c r="E2069" s="13" t="s">
        <v>429</v>
      </c>
      <c r="F2069" s="13">
        <v>13000.0</v>
      </c>
      <c r="G2069" s="13">
        <v>26000.0</v>
      </c>
    </row>
    <row r="2070">
      <c r="D2070" s="13" t="s">
        <v>597</v>
      </c>
      <c r="E2070" s="13" t="s">
        <v>426</v>
      </c>
      <c r="F2070" s="13">
        <v>7500.0</v>
      </c>
      <c r="G2070" s="13">
        <v>7500.0</v>
      </c>
    </row>
    <row r="2071">
      <c r="D2071" s="13" t="s">
        <v>1659</v>
      </c>
      <c r="E2071" s="13" t="s">
        <v>426</v>
      </c>
      <c r="F2071" s="13">
        <v>18000.0</v>
      </c>
      <c r="G2071" s="13">
        <v>18000.0</v>
      </c>
    </row>
    <row r="2072">
      <c r="D2072" s="13" t="s">
        <v>1660</v>
      </c>
      <c r="E2072" s="13">
        <v>1.0</v>
      </c>
      <c r="F2072" s="13"/>
      <c r="G2072" s="13" t="s">
        <v>1014</v>
      </c>
    </row>
    <row r="2073">
      <c r="D2073" s="13"/>
      <c r="E2073" s="13"/>
      <c r="F2073" s="13"/>
    </row>
    <row r="2074">
      <c r="D2074" s="13"/>
      <c r="E2074" s="13"/>
      <c r="F2074" s="13"/>
    </row>
    <row r="2075">
      <c r="B2075" s="13" t="s">
        <v>811</v>
      </c>
      <c r="C2075" s="79" t="s">
        <v>1661</v>
      </c>
      <c r="D2075" s="13" t="s">
        <v>1657</v>
      </c>
      <c r="E2075" s="13" t="s">
        <v>426</v>
      </c>
      <c r="F2075" s="13">
        <v>7200.0</v>
      </c>
    </row>
    <row r="2076">
      <c r="D2076" s="13" t="s">
        <v>1275</v>
      </c>
      <c r="E2076" s="13" t="s">
        <v>426</v>
      </c>
      <c r="F2076" s="13">
        <v>17500.0</v>
      </c>
    </row>
    <row r="2077">
      <c r="D2077" s="13" t="s">
        <v>1090</v>
      </c>
      <c r="E2077" s="13" t="s">
        <v>426</v>
      </c>
      <c r="F2077" s="13">
        <v>13000.0</v>
      </c>
    </row>
    <row r="2078">
      <c r="D2078" s="13"/>
      <c r="E2078" s="13"/>
      <c r="F2078" s="13"/>
    </row>
    <row r="2079">
      <c r="D2079" s="13"/>
      <c r="E2079" s="13"/>
      <c r="F2079" s="13"/>
    </row>
    <row r="2080">
      <c r="D2080" s="13"/>
      <c r="E2080" s="13"/>
      <c r="F2080" s="13"/>
    </row>
    <row r="2081">
      <c r="B2081" s="13" t="s">
        <v>811</v>
      </c>
      <c r="C2081" s="13" t="s">
        <v>1662</v>
      </c>
      <c r="D2081" s="13" t="s">
        <v>606</v>
      </c>
      <c r="E2081" s="13" t="s">
        <v>429</v>
      </c>
      <c r="F2081" s="13"/>
    </row>
    <row r="2082">
      <c r="D2082" s="13" t="s">
        <v>1663</v>
      </c>
      <c r="E2082" s="13" t="s">
        <v>429</v>
      </c>
      <c r="F2082" s="13"/>
    </row>
    <row r="2083">
      <c r="D2083" s="13" t="s">
        <v>543</v>
      </c>
      <c r="E2083" s="13" t="s">
        <v>426</v>
      </c>
      <c r="F2083" s="13"/>
    </row>
    <row r="2084">
      <c r="D2084" s="13"/>
      <c r="E2084" s="13"/>
      <c r="F2084" s="13"/>
    </row>
    <row r="2085">
      <c r="B2085" s="13" t="s">
        <v>1664</v>
      </c>
      <c r="C2085" s="79" t="s">
        <v>1665</v>
      </c>
      <c r="D2085" s="13" t="s">
        <v>873</v>
      </c>
      <c r="E2085" s="13" t="s">
        <v>426</v>
      </c>
      <c r="F2085" s="13">
        <v>12000.0</v>
      </c>
    </row>
    <row r="2086">
      <c r="D2086" s="13"/>
      <c r="E2086" s="13"/>
      <c r="F2086" s="13"/>
    </row>
    <row r="2087">
      <c r="B2087" s="100"/>
      <c r="C2087" s="100"/>
      <c r="D2087" s="81"/>
      <c r="E2087" s="13"/>
      <c r="F2087" s="13"/>
    </row>
    <row r="2088">
      <c r="D2088" s="13"/>
      <c r="E2088" s="13"/>
      <c r="F2088" s="13"/>
    </row>
    <row r="2089">
      <c r="A2089" s="87">
        <v>45977.0</v>
      </c>
      <c r="B2089" s="13" t="s">
        <v>757</v>
      </c>
      <c r="C2089" s="79" t="s">
        <v>1575</v>
      </c>
      <c r="D2089" s="13" t="s">
        <v>1666</v>
      </c>
      <c r="E2089" s="13" t="s">
        <v>426</v>
      </c>
      <c r="F2089" s="13">
        <v>7700.0</v>
      </c>
    </row>
    <row r="2090">
      <c r="D2090" s="13" t="s">
        <v>1011</v>
      </c>
      <c r="E2090" s="13" t="s">
        <v>727</v>
      </c>
      <c r="F2090" s="13">
        <v>4500.0</v>
      </c>
    </row>
    <row r="2091">
      <c r="D2091" s="13" t="s">
        <v>758</v>
      </c>
      <c r="E2091" s="13" t="s">
        <v>426</v>
      </c>
      <c r="F2091" s="13">
        <v>4400.0</v>
      </c>
    </row>
    <row r="2092">
      <c r="D2092" s="13"/>
      <c r="E2092" s="13"/>
      <c r="F2092" s="13"/>
    </row>
    <row r="2093">
      <c r="B2093" s="13" t="s">
        <v>757</v>
      </c>
      <c r="C2093" s="79" t="s">
        <v>1667</v>
      </c>
      <c r="D2093" s="13" t="s">
        <v>1668</v>
      </c>
      <c r="E2093" s="13" t="s">
        <v>426</v>
      </c>
      <c r="F2093" s="13">
        <v>17000.0</v>
      </c>
    </row>
    <row r="2094">
      <c r="D2094" s="13" t="s">
        <v>1192</v>
      </c>
      <c r="E2094" s="13" t="s">
        <v>426</v>
      </c>
      <c r="F2094" s="13">
        <v>7500.0</v>
      </c>
    </row>
    <row r="2095">
      <c r="D2095" s="13" t="s">
        <v>1514</v>
      </c>
      <c r="E2095" s="13" t="s">
        <v>426</v>
      </c>
      <c r="F2095" s="13">
        <v>3600.0</v>
      </c>
    </row>
    <row r="2096">
      <c r="D2096" s="13" t="s">
        <v>1669</v>
      </c>
      <c r="E2096" s="13" t="s">
        <v>426</v>
      </c>
      <c r="F2096" s="13"/>
    </row>
    <row r="2097">
      <c r="D2097" s="13" t="s">
        <v>1670</v>
      </c>
      <c r="E2097" s="13" t="s">
        <v>426</v>
      </c>
      <c r="F2097" s="13">
        <v>9300.0</v>
      </c>
    </row>
    <row r="2098">
      <c r="D2098" s="13"/>
      <c r="E2098" s="13"/>
      <c r="F2098" s="13"/>
    </row>
    <row r="2099">
      <c r="B2099" s="13" t="s">
        <v>1671</v>
      </c>
      <c r="C2099" s="79" t="s">
        <v>1672</v>
      </c>
      <c r="D2099" s="13" t="s">
        <v>867</v>
      </c>
      <c r="E2099" s="13" t="s">
        <v>429</v>
      </c>
      <c r="F2099" s="13">
        <v>3000.0</v>
      </c>
      <c r="G2099" s="13">
        <v>6000.0</v>
      </c>
    </row>
    <row r="2100">
      <c r="D2100" s="13"/>
      <c r="E2100" s="13"/>
      <c r="F2100" s="13"/>
    </row>
    <row r="2101">
      <c r="D2101" s="13"/>
      <c r="E2101" s="13"/>
      <c r="F2101" s="13"/>
    </row>
    <row r="2102">
      <c r="B2102" s="13" t="s">
        <v>811</v>
      </c>
      <c r="C2102" s="79" t="s">
        <v>1673</v>
      </c>
      <c r="D2102" s="13" t="s">
        <v>1674</v>
      </c>
      <c r="E2102" s="13" t="s">
        <v>426</v>
      </c>
      <c r="F2102" s="13">
        <v>18000.0</v>
      </c>
    </row>
    <row r="2103">
      <c r="D2103" s="13"/>
      <c r="E2103" s="13"/>
      <c r="F2103" s="13"/>
    </row>
    <row r="2104">
      <c r="D2104" s="13"/>
      <c r="E2104" s="13"/>
      <c r="F2104" s="13"/>
    </row>
    <row r="2105">
      <c r="B2105" s="13" t="s">
        <v>808</v>
      </c>
      <c r="C2105" s="79" t="s">
        <v>1675</v>
      </c>
      <c r="D2105" s="13" t="s">
        <v>822</v>
      </c>
      <c r="E2105" s="13" t="s">
        <v>429</v>
      </c>
      <c r="F2105" s="13">
        <v>17000.0</v>
      </c>
      <c r="G2105" s="32">
        <f>F2105*2</f>
        <v>34000</v>
      </c>
    </row>
    <row r="2106">
      <c r="D2106" s="13" t="s">
        <v>590</v>
      </c>
      <c r="E2106" s="13" t="s">
        <v>426</v>
      </c>
      <c r="F2106" s="13">
        <v>3000.0</v>
      </c>
      <c r="G2106" s="13">
        <v>3000.0</v>
      </c>
    </row>
    <row r="2107">
      <c r="D2107" s="13" t="s">
        <v>543</v>
      </c>
      <c r="E2107" s="13" t="s">
        <v>426</v>
      </c>
      <c r="F2107" s="13">
        <v>8000.0</v>
      </c>
      <c r="G2107" s="13">
        <v>8000.0</v>
      </c>
    </row>
    <row r="2108">
      <c r="D2108" s="13" t="s">
        <v>758</v>
      </c>
      <c r="E2108" s="13" t="s">
        <v>426</v>
      </c>
      <c r="F2108" s="13">
        <v>4400.0</v>
      </c>
      <c r="G2108" s="13">
        <v>4400.0</v>
      </c>
    </row>
    <row r="2109">
      <c r="D2109" s="13" t="s">
        <v>571</v>
      </c>
      <c r="E2109" s="13" t="s">
        <v>429</v>
      </c>
      <c r="F2109" s="13">
        <v>2500.0</v>
      </c>
      <c r="G2109" s="13">
        <v>5000.0</v>
      </c>
    </row>
    <row r="2110">
      <c r="D2110" s="13"/>
      <c r="E2110" s="13"/>
      <c r="F2110" s="13"/>
    </row>
    <row r="2111">
      <c r="C2111" s="79" t="s">
        <v>1676</v>
      </c>
      <c r="D2111" s="13" t="s">
        <v>605</v>
      </c>
      <c r="E2111" s="13" t="s">
        <v>426</v>
      </c>
      <c r="F2111" s="13">
        <v>7700.0</v>
      </c>
    </row>
    <row r="2112">
      <c r="D2112" s="13"/>
      <c r="E2112" s="13"/>
      <c r="F2112" s="13"/>
    </row>
    <row r="2113">
      <c r="B2113" s="13" t="s">
        <v>743</v>
      </c>
      <c r="C2113" s="79" t="s">
        <v>714</v>
      </c>
      <c r="D2113" s="13" t="s">
        <v>924</v>
      </c>
      <c r="E2113" s="13" t="s">
        <v>426</v>
      </c>
      <c r="F2113" s="13">
        <v>3400.0</v>
      </c>
    </row>
    <row r="2114">
      <c r="D2114" s="13" t="s">
        <v>1677</v>
      </c>
      <c r="E2114" s="13" t="s">
        <v>426</v>
      </c>
      <c r="F2114" s="13">
        <v>9000.0</v>
      </c>
    </row>
    <row r="2115">
      <c r="D2115" s="13"/>
      <c r="E2115" s="13"/>
      <c r="F2115" s="13"/>
    </row>
    <row r="2116">
      <c r="A2116" s="56" t="s">
        <v>1678</v>
      </c>
      <c r="D2116" s="13"/>
      <c r="E2116" s="13"/>
      <c r="F2116" s="13"/>
    </row>
    <row r="2117">
      <c r="A2117" s="56" t="s">
        <v>1679</v>
      </c>
      <c r="B2117" s="99"/>
      <c r="C2117" s="79" t="s">
        <v>1680</v>
      </c>
      <c r="D2117" s="13" t="s">
        <v>598</v>
      </c>
      <c r="E2117" s="13" t="s">
        <v>426</v>
      </c>
      <c r="F2117" s="13">
        <v>21600.0</v>
      </c>
    </row>
    <row r="2118">
      <c r="A2118" s="56" t="s">
        <v>1681</v>
      </c>
      <c r="B2118" s="99"/>
      <c r="D2118" s="13" t="s">
        <v>606</v>
      </c>
      <c r="E2118" s="13" t="s">
        <v>426</v>
      </c>
      <c r="F2118" s="13">
        <v>6300.0</v>
      </c>
    </row>
    <row r="2119">
      <c r="D2119" s="13" t="s">
        <v>1275</v>
      </c>
      <c r="E2119" s="13" t="s">
        <v>426</v>
      </c>
      <c r="F2119" s="13">
        <v>17500.0</v>
      </c>
    </row>
    <row r="2120">
      <c r="D2120" s="13"/>
      <c r="E2120" s="13"/>
      <c r="F2120" s="13"/>
    </row>
    <row r="2121">
      <c r="B2121" s="13" t="s">
        <v>811</v>
      </c>
      <c r="C2121" s="79" t="s">
        <v>1682</v>
      </c>
      <c r="D2121" s="13" t="s">
        <v>598</v>
      </c>
      <c r="E2121" s="13" t="s">
        <v>429</v>
      </c>
      <c r="F2121" s="13">
        <v>21600.0</v>
      </c>
      <c r="G2121" s="32">
        <f t="shared" ref="G2121:G2122" si="2">F2121*2</f>
        <v>43200</v>
      </c>
    </row>
    <row r="2122">
      <c r="D2122" s="13" t="s">
        <v>824</v>
      </c>
      <c r="E2122" s="13" t="s">
        <v>429</v>
      </c>
      <c r="F2122" s="13">
        <v>11700.0</v>
      </c>
      <c r="G2122" s="32">
        <f t="shared" si="2"/>
        <v>23400</v>
      </c>
    </row>
    <row r="2123">
      <c r="D2123" s="13" t="s">
        <v>1275</v>
      </c>
      <c r="E2123" s="13" t="s">
        <v>426</v>
      </c>
      <c r="F2123" s="13">
        <v>17500.0</v>
      </c>
      <c r="G2123" s="13">
        <v>17500.0</v>
      </c>
    </row>
    <row r="2124">
      <c r="D2124" s="13" t="s">
        <v>446</v>
      </c>
      <c r="E2124" s="13" t="s">
        <v>426</v>
      </c>
      <c r="F2124" s="13">
        <v>3600.0</v>
      </c>
      <c r="G2124" s="13">
        <v>3600.0</v>
      </c>
    </row>
    <row r="2125">
      <c r="D2125" s="13" t="s">
        <v>607</v>
      </c>
      <c r="E2125" s="13" t="s">
        <v>426</v>
      </c>
      <c r="F2125" s="13">
        <v>9300.0</v>
      </c>
      <c r="G2125" s="13">
        <v>9300.0</v>
      </c>
    </row>
    <row r="2126">
      <c r="D2126" s="13"/>
      <c r="E2126" s="13"/>
      <c r="F2126" s="13"/>
    </row>
    <row r="2127">
      <c r="B2127" s="13" t="s">
        <v>811</v>
      </c>
      <c r="C2127" s="79" t="s">
        <v>1683</v>
      </c>
      <c r="D2127" s="13" t="s">
        <v>543</v>
      </c>
      <c r="E2127" s="13" t="s">
        <v>426</v>
      </c>
      <c r="F2127" s="13">
        <v>8000.0</v>
      </c>
    </row>
    <row r="2128">
      <c r="D2128" s="13" t="s">
        <v>908</v>
      </c>
      <c r="E2128" s="13" t="s">
        <v>1684</v>
      </c>
      <c r="F2128" s="13">
        <v>7500.0</v>
      </c>
    </row>
    <row r="2129">
      <c r="D2129" s="13" t="s">
        <v>446</v>
      </c>
      <c r="E2129" s="13" t="s">
        <v>426</v>
      </c>
      <c r="F2129" s="13">
        <v>3600.0</v>
      </c>
    </row>
    <row r="2130">
      <c r="C2130" s="13"/>
      <c r="D2130" s="13" t="s">
        <v>1685</v>
      </c>
      <c r="E2130" s="13" t="s">
        <v>426</v>
      </c>
      <c r="F2130" s="13">
        <v>6500.0</v>
      </c>
    </row>
    <row r="2131">
      <c r="C2131" s="13"/>
      <c r="D2131" s="13" t="s">
        <v>1686</v>
      </c>
      <c r="E2131" s="13" t="s">
        <v>426</v>
      </c>
      <c r="F2131" s="13">
        <v>2500.0</v>
      </c>
    </row>
    <row r="2132">
      <c r="C2132" s="13"/>
      <c r="D2132" s="13" t="s">
        <v>607</v>
      </c>
      <c r="E2132" s="13" t="s">
        <v>426</v>
      </c>
      <c r="F2132" s="13">
        <v>9300.0</v>
      </c>
    </row>
    <row r="2133">
      <c r="C2133" s="13"/>
      <c r="D2133" s="13"/>
      <c r="E2133" s="13"/>
      <c r="F2133" s="13"/>
    </row>
    <row r="2134">
      <c r="B2134" s="13" t="s">
        <v>811</v>
      </c>
      <c r="C2134" s="79" t="s">
        <v>1687</v>
      </c>
      <c r="D2134" s="13" t="s">
        <v>1688</v>
      </c>
      <c r="E2134" s="13" t="s">
        <v>426</v>
      </c>
      <c r="F2134" s="13">
        <v>7000.0</v>
      </c>
    </row>
    <row r="2135">
      <c r="D2135" s="13" t="s">
        <v>732</v>
      </c>
      <c r="E2135" s="13" t="s">
        <v>426</v>
      </c>
      <c r="F2135" s="13">
        <v>12000.0</v>
      </c>
    </row>
    <row r="2136">
      <c r="D2136" s="13" t="s">
        <v>1689</v>
      </c>
      <c r="E2136" s="13">
        <v>1.0</v>
      </c>
      <c r="F2136" s="13">
        <v>3500.0</v>
      </c>
    </row>
    <row r="2137">
      <c r="D2137" s="13"/>
      <c r="E2137" s="13"/>
      <c r="F2137" s="13"/>
    </row>
    <row r="2138">
      <c r="B2138" s="13" t="s">
        <v>811</v>
      </c>
      <c r="C2138" s="79" t="s">
        <v>1690</v>
      </c>
      <c r="D2138" s="13" t="s">
        <v>605</v>
      </c>
      <c r="E2138" s="13" t="s">
        <v>426</v>
      </c>
      <c r="F2138" s="13">
        <v>7700.0</v>
      </c>
    </row>
    <row r="2139">
      <c r="F2139" s="13"/>
    </row>
    <row r="2140">
      <c r="F2140" s="13"/>
    </row>
    <row r="2141">
      <c r="D2141" s="13"/>
      <c r="E2141" s="13"/>
      <c r="F2141" s="13"/>
    </row>
    <row r="2142">
      <c r="B2142" s="13" t="s">
        <v>757</v>
      </c>
      <c r="C2142" s="79" t="s">
        <v>1691</v>
      </c>
      <c r="D2142" s="13" t="s">
        <v>1275</v>
      </c>
      <c r="E2142" s="13" t="s">
        <v>426</v>
      </c>
      <c r="F2142" s="13"/>
    </row>
    <row r="2143">
      <c r="D2143" s="13" t="s">
        <v>908</v>
      </c>
      <c r="E2143" s="13" t="s">
        <v>426</v>
      </c>
      <c r="F2143" s="13">
        <v>7500.0</v>
      </c>
    </row>
    <row r="2144">
      <c r="D2144" s="13"/>
      <c r="E2144" s="13"/>
      <c r="F2144" s="13"/>
    </row>
    <row r="2145">
      <c r="D2145" s="13"/>
      <c r="E2145" s="13"/>
      <c r="F2145" s="13"/>
    </row>
    <row r="2146">
      <c r="B2146" s="13" t="s">
        <v>757</v>
      </c>
      <c r="C2146" s="79" t="s">
        <v>1692</v>
      </c>
      <c r="D2146" s="13" t="s">
        <v>1053</v>
      </c>
      <c r="E2146" s="13" t="s">
        <v>426</v>
      </c>
      <c r="F2146" s="19">
        <v>21600.0</v>
      </c>
    </row>
    <row r="2147">
      <c r="D2147" s="13" t="s">
        <v>780</v>
      </c>
      <c r="E2147" s="13" t="s">
        <v>426</v>
      </c>
      <c r="F2147" s="13">
        <v>12000.0</v>
      </c>
    </row>
    <row r="2148">
      <c r="D2148" s="13"/>
      <c r="E2148" s="13"/>
      <c r="F2148" s="13"/>
    </row>
    <row r="2149">
      <c r="B2149" s="13" t="s">
        <v>792</v>
      </c>
      <c r="C2149" s="79" t="s">
        <v>987</v>
      </c>
      <c r="D2149" s="13" t="s">
        <v>908</v>
      </c>
      <c r="E2149" s="13" t="s">
        <v>426</v>
      </c>
      <c r="F2149" s="13">
        <v>7500.0</v>
      </c>
    </row>
    <row r="2150">
      <c r="D2150" s="13"/>
      <c r="E2150" s="13"/>
      <c r="F2150" s="13"/>
    </row>
    <row r="2151">
      <c r="C2151" s="79" t="s">
        <v>1578</v>
      </c>
      <c r="D2151" s="13" t="s">
        <v>1693</v>
      </c>
      <c r="E2151" s="13">
        <v>1.0</v>
      </c>
      <c r="F2151" s="13">
        <v>4200.0</v>
      </c>
    </row>
    <row r="2152">
      <c r="D2152" s="13"/>
      <c r="E2152" s="13"/>
      <c r="F2152" s="13"/>
    </row>
    <row r="2153">
      <c r="A2153" s="88"/>
      <c r="B2153" s="14" t="s">
        <v>757</v>
      </c>
      <c r="C2153" s="79" t="s">
        <v>1694</v>
      </c>
      <c r="D2153" s="14" t="s">
        <v>924</v>
      </c>
      <c r="E2153" s="14" t="s">
        <v>426</v>
      </c>
      <c r="F2153" s="14">
        <v>4400.0</v>
      </c>
      <c r="G2153" s="14"/>
      <c r="H2153" s="93"/>
      <c r="I2153" s="93"/>
      <c r="J2153" s="93"/>
      <c r="K2153" s="93"/>
      <c r="L2153" s="93"/>
      <c r="M2153" s="93"/>
      <c r="N2153" s="93"/>
      <c r="O2153" s="93"/>
      <c r="P2153" s="93"/>
      <c r="Q2153" s="93"/>
      <c r="R2153" s="93"/>
      <c r="S2153" s="93"/>
      <c r="T2153" s="93"/>
      <c r="U2153" s="93"/>
      <c r="V2153" s="93"/>
      <c r="W2153" s="93"/>
      <c r="X2153" s="93"/>
      <c r="Y2153" s="93"/>
      <c r="Z2153" s="93"/>
      <c r="AA2153" s="93"/>
    </row>
    <row r="2155">
      <c r="D2155" s="13"/>
      <c r="E2155" s="13"/>
      <c r="F2155" s="13"/>
    </row>
    <row r="2156">
      <c r="D2156" s="13"/>
      <c r="E2156" s="13"/>
      <c r="F2156" s="13"/>
    </row>
    <row r="2157">
      <c r="A2157" s="87">
        <v>45990.0</v>
      </c>
      <c r="B2157" s="13" t="s">
        <v>521</v>
      </c>
      <c r="C2157" s="79" t="s">
        <v>1695</v>
      </c>
      <c r="D2157" s="13" t="s">
        <v>1696</v>
      </c>
      <c r="E2157" s="13" t="s">
        <v>426</v>
      </c>
      <c r="F2157" s="13">
        <v>17500.0</v>
      </c>
      <c r="G2157" s="13">
        <v>17500.0</v>
      </c>
      <c r="H2157" s="13">
        <v>14000.0</v>
      </c>
      <c r="I2157" s="32">
        <f>28400/5</f>
        <v>5680</v>
      </c>
      <c r="J2157" s="32">
        <f>I2157/2</f>
        <v>2840</v>
      </c>
    </row>
    <row r="2158">
      <c r="D2158" s="13" t="s">
        <v>630</v>
      </c>
      <c r="E2158" s="13" t="s">
        <v>727</v>
      </c>
      <c r="F2158" s="13">
        <v>4500.0</v>
      </c>
      <c r="G2158" s="13">
        <v>4500.0</v>
      </c>
      <c r="H2158" s="13">
        <v>2840.0</v>
      </c>
    </row>
    <row r="2159">
      <c r="C2159" s="14"/>
      <c r="D2159" s="13"/>
      <c r="E2159" s="13"/>
      <c r="F2159" s="13"/>
    </row>
    <row r="2160">
      <c r="B2160" s="13" t="s">
        <v>521</v>
      </c>
      <c r="C2160" s="79" t="s">
        <v>1109</v>
      </c>
      <c r="D2160" s="13" t="s">
        <v>1697</v>
      </c>
      <c r="E2160" s="13" t="s">
        <v>426</v>
      </c>
      <c r="F2160" s="13">
        <v>19300.0</v>
      </c>
      <c r="G2160" s="13">
        <v>19300.0</v>
      </c>
      <c r="H2160" s="13">
        <v>16500.0</v>
      </c>
    </row>
    <row r="2161">
      <c r="D2161" s="13"/>
      <c r="E2161" s="13"/>
      <c r="F2161" s="13"/>
    </row>
    <row r="2162">
      <c r="B2162" s="13" t="s">
        <v>521</v>
      </c>
      <c r="C2162" s="79" t="s">
        <v>1667</v>
      </c>
      <c r="D2162" s="13" t="s">
        <v>899</v>
      </c>
      <c r="E2162" s="13" t="s">
        <v>426</v>
      </c>
      <c r="F2162" s="13">
        <v>6500.0</v>
      </c>
      <c r="G2162" s="13">
        <v>6500.0</v>
      </c>
      <c r="H2162" s="13">
        <v>5400.0</v>
      </c>
    </row>
    <row r="2163">
      <c r="D2163" s="13"/>
      <c r="E2163" s="13"/>
      <c r="F2163" s="13"/>
    </row>
    <row r="2164">
      <c r="D2164" s="13"/>
      <c r="E2164" s="13"/>
      <c r="F2164" s="13"/>
    </row>
    <row r="2165">
      <c r="B2165" s="13" t="s">
        <v>521</v>
      </c>
      <c r="C2165" s="79" t="s">
        <v>1698</v>
      </c>
      <c r="D2165" s="13" t="s">
        <v>1474</v>
      </c>
      <c r="E2165" s="13" t="s">
        <v>426</v>
      </c>
      <c r="F2165" s="13">
        <v>23000.0</v>
      </c>
      <c r="G2165" s="13">
        <v>23000.0</v>
      </c>
      <c r="H2165" s="32">
        <f>38000/2</f>
        <v>19000</v>
      </c>
    </row>
    <row r="2166">
      <c r="D2166" s="13" t="s">
        <v>937</v>
      </c>
      <c r="E2166" s="13" t="s">
        <v>426</v>
      </c>
      <c r="F2166" s="13">
        <v>5800.0</v>
      </c>
      <c r="G2166" s="13">
        <v>5800.0</v>
      </c>
      <c r="H2166" s="13">
        <v>4000.0</v>
      </c>
    </row>
    <row r="2167">
      <c r="D2167" s="13" t="s">
        <v>1385</v>
      </c>
      <c r="E2167" s="13" t="s">
        <v>426</v>
      </c>
      <c r="F2167" s="13">
        <v>3300.0</v>
      </c>
      <c r="G2167" s="13">
        <v>3300.0</v>
      </c>
      <c r="H2167" s="13">
        <v>2700.0</v>
      </c>
    </row>
    <row r="2168">
      <c r="D2168" s="13" t="s">
        <v>823</v>
      </c>
      <c r="E2168" s="13" t="s">
        <v>426</v>
      </c>
      <c r="F2168" s="13">
        <v>3000.0</v>
      </c>
      <c r="G2168" s="13">
        <v>3000.0</v>
      </c>
      <c r="H2168" s="32">
        <f>4800/2</f>
        <v>2400</v>
      </c>
    </row>
    <row r="2169">
      <c r="D2169" s="13" t="s">
        <v>1699</v>
      </c>
      <c r="E2169" s="13">
        <v>1.0</v>
      </c>
      <c r="F2169" s="13">
        <v>5500.0</v>
      </c>
      <c r="G2169" s="13">
        <v>5500.0</v>
      </c>
      <c r="H2169" s="13">
        <v>4560.0</v>
      </c>
    </row>
    <row r="2170">
      <c r="D2170" s="13"/>
      <c r="E2170" s="13"/>
      <c r="F2170" s="13"/>
    </row>
    <row r="2171">
      <c r="B2171" s="13" t="s">
        <v>521</v>
      </c>
      <c r="C2171" s="79" t="s">
        <v>501</v>
      </c>
      <c r="D2171" s="13" t="s">
        <v>677</v>
      </c>
      <c r="E2171" s="13" t="s">
        <v>426</v>
      </c>
      <c r="F2171" s="13">
        <v>3000.0</v>
      </c>
      <c r="G2171" s="13">
        <v>3000.0</v>
      </c>
      <c r="H2171" s="13">
        <v>2400.0</v>
      </c>
    </row>
    <row r="2172">
      <c r="D2172" s="13" t="s">
        <v>1146</v>
      </c>
      <c r="E2172" s="13" t="s">
        <v>426</v>
      </c>
      <c r="F2172" s="13">
        <v>7000.0</v>
      </c>
      <c r="G2172" s="13">
        <v>7000.0</v>
      </c>
      <c r="H2172" s="13">
        <v>5700.0</v>
      </c>
    </row>
    <row r="2173">
      <c r="D2173" s="13" t="s">
        <v>1696</v>
      </c>
      <c r="E2173" s="13" t="s">
        <v>426</v>
      </c>
      <c r="F2173" s="13">
        <v>17500.0</v>
      </c>
      <c r="G2173" s="13">
        <v>17500.0</v>
      </c>
      <c r="H2173" s="13">
        <v>14000.0</v>
      </c>
    </row>
    <row r="2174">
      <c r="D2174" s="13" t="s">
        <v>640</v>
      </c>
      <c r="E2174" s="13" t="s">
        <v>426</v>
      </c>
      <c r="F2174" s="13">
        <v>6300.0</v>
      </c>
      <c r="G2174" s="13">
        <v>6300.0</v>
      </c>
      <c r="H2174" s="32">
        <f>20800/4</f>
        <v>5200</v>
      </c>
    </row>
    <row r="2175">
      <c r="D2175" s="13" t="s">
        <v>1700</v>
      </c>
      <c r="E2175" s="13" t="s">
        <v>426</v>
      </c>
      <c r="F2175" s="13">
        <v>19000.0</v>
      </c>
      <c r="G2175" s="13">
        <v>19000.0</v>
      </c>
      <c r="H2175" s="32">
        <f>94200/6</f>
        <v>15700</v>
      </c>
    </row>
    <row r="2177">
      <c r="B2177" s="13" t="s">
        <v>521</v>
      </c>
      <c r="C2177" s="79" t="s">
        <v>1701</v>
      </c>
      <c r="D2177" s="13" t="s">
        <v>867</v>
      </c>
      <c r="E2177" s="13" t="s">
        <v>426</v>
      </c>
      <c r="F2177" s="13">
        <v>3000.0</v>
      </c>
      <c r="G2177" s="13">
        <v>3000.0</v>
      </c>
      <c r="H2177" s="13">
        <v>2400.0</v>
      </c>
    </row>
    <row r="2178">
      <c r="D2178" s="13" t="s">
        <v>1702</v>
      </c>
      <c r="E2178" s="13" t="s">
        <v>426</v>
      </c>
      <c r="F2178" s="13">
        <v>7000.0</v>
      </c>
      <c r="G2178" s="13">
        <v>7000.0</v>
      </c>
      <c r="H2178" s="13">
        <v>5700.0</v>
      </c>
    </row>
    <row r="2179">
      <c r="D2179" s="13" t="s">
        <v>1509</v>
      </c>
      <c r="E2179" s="13" t="s">
        <v>426</v>
      </c>
      <c r="F2179" s="13">
        <v>11700.0</v>
      </c>
      <c r="G2179" s="13">
        <v>11700.0</v>
      </c>
      <c r="H2179" s="32">
        <f>18800/2</f>
        <v>9400</v>
      </c>
    </row>
    <row r="2180">
      <c r="D2180" s="13" t="s">
        <v>885</v>
      </c>
      <c r="E2180" s="13" t="s">
        <v>426</v>
      </c>
      <c r="F2180" s="13">
        <v>17000.0</v>
      </c>
      <c r="G2180" s="13">
        <v>17000.0</v>
      </c>
      <c r="H2180" s="32">
        <f>102900/7</f>
        <v>14700</v>
      </c>
    </row>
    <row r="2181">
      <c r="D2181" s="13" t="s">
        <v>630</v>
      </c>
      <c r="E2181" s="13" t="s">
        <v>727</v>
      </c>
      <c r="F2181" s="13">
        <v>4500.0</v>
      </c>
      <c r="G2181" s="13">
        <v>4500.0</v>
      </c>
      <c r="H2181" s="13">
        <v>2840.0</v>
      </c>
    </row>
    <row r="2182">
      <c r="I2182" s="13" t="s">
        <v>1014</v>
      </c>
    </row>
    <row r="2183">
      <c r="C2183" s="14"/>
      <c r="D2183" s="13"/>
      <c r="E2183" s="13"/>
      <c r="F2183" s="13"/>
    </row>
    <row r="2184">
      <c r="B2184" s="13" t="s">
        <v>521</v>
      </c>
      <c r="C2184" s="79" t="s">
        <v>1703</v>
      </c>
      <c r="D2184" s="13" t="s">
        <v>1192</v>
      </c>
      <c r="E2184" s="13" t="s">
        <v>426</v>
      </c>
      <c r="F2184" s="13">
        <v>7500.0</v>
      </c>
      <c r="G2184" s="13">
        <v>7500.0</v>
      </c>
      <c r="H2184" s="32">
        <f>29000/5</f>
        <v>5800</v>
      </c>
    </row>
    <row r="2185">
      <c r="D2185" s="13" t="s">
        <v>1180</v>
      </c>
      <c r="E2185" s="13" t="s">
        <v>426</v>
      </c>
      <c r="F2185" s="13">
        <v>7500.0</v>
      </c>
      <c r="G2185" s="13">
        <v>7500.0</v>
      </c>
      <c r="H2185" s="13">
        <v>5860.0</v>
      </c>
    </row>
    <row r="2186">
      <c r="D2186" s="13" t="s">
        <v>1704</v>
      </c>
      <c r="E2186" s="13" t="s">
        <v>1705</v>
      </c>
      <c r="F2186" s="13">
        <v>8300.0</v>
      </c>
      <c r="G2186" s="13">
        <v>8300.0</v>
      </c>
      <c r="H2186" s="13">
        <v>5500.0</v>
      </c>
    </row>
    <row r="2187">
      <c r="C2187" s="14"/>
      <c r="D2187" s="13" t="s">
        <v>1706</v>
      </c>
      <c r="E2187" s="13">
        <v>1.0</v>
      </c>
      <c r="F2187" s="13">
        <v>3600.0</v>
      </c>
      <c r="G2187" s="13">
        <v>3600.0</v>
      </c>
      <c r="H2187" s="13">
        <v>3000.0</v>
      </c>
    </row>
    <row r="2188">
      <c r="D2188" s="13" t="s">
        <v>924</v>
      </c>
      <c r="E2188" s="13" t="s">
        <v>426</v>
      </c>
      <c r="F2188" s="13">
        <v>4400.0</v>
      </c>
      <c r="G2188" s="13">
        <v>4400.0</v>
      </c>
      <c r="H2188" s="13">
        <v>3600.0</v>
      </c>
    </row>
    <row r="2189">
      <c r="D2189" s="13" t="s">
        <v>1707</v>
      </c>
      <c r="E2189" s="13" t="s">
        <v>426</v>
      </c>
      <c r="F2189" s="13">
        <v>11700.0</v>
      </c>
      <c r="G2189" s="13">
        <v>11700.0</v>
      </c>
      <c r="H2189" s="13">
        <v>9400.0</v>
      </c>
    </row>
    <row r="2190">
      <c r="D2190" s="13" t="s">
        <v>1696</v>
      </c>
      <c r="E2190" s="13" t="s">
        <v>426</v>
      </c>
      <c r="F2190" s="13">
        <v>17500.0</v>
      </c>
      <c r="G2190" s="13">
        <v>17500.0</v>
      </c>
      <c r="H2190" s="13">
        <v>14000.0</v>
      </c>
    </row>
    <row r="2191">
      <c r="D2191" s="13"/>
      <c r="E2191" s="13"/>
      <c r="F2191" s="13"/>
    </row>
    <row r="2192">
      <c r="B2192" s="13" t="s">
        <v>521</v>
      </c>
      <c r="C2192" s="79" t="s">
        <v>1708</v>
      </c>
      <c r="D2192" s="13" t="s">
        <v>1709</v>
      </c>
      <c r="E2192" s="13" t="s">
        <v>426</v>
      </c>
      <c r="F2192" s="13">
        <v>20000.0</v>
      </c>
      <c r="G2192" s="13">
        <v>20000.0</v>
      </c>
      <c r="H2192" s="13">
        <v>16500.0</v>
      </c>
    </row>
    <row r="2193">
      <c r="D2193" s="13" t="s">
        <v>605</v>
      </c>
      <c r="E2193" s="13" t="s">
        <v>426</v>
      </c>
      <c r="F2193" s="13">
        <v>7700.0</v>
      </c>
      <c r="G2193" s="13">
        <v>7700.0</v>
      </c>
      <c r="H2193" s="13">
        <v>6400.0</v>
      </c>
    </row>
    <row r="2194">
      <c r="D2194" s="13" t="s">
        <v>1710</v>
      </c>
      <c r="E2194" s="13" t="s">
        <v>426</v>
      </c>
      <c r="F2194" s="13">
        <v>4000.0</v>
      </c>
      <c r="G2194" s="13">
        <v>8000.0</v>
      </c>
      <c r="H2194" s="13">
        <v>6500.0</v>
      </c>
    </row>
    <row r="2195">
      <c r="D2195" s="13" t="s">
        <v>1711</v>
      </c>
      <c r="E2195" s="13">
        <v>1.0</v>
      </c>
      <c r="F2195" s="13">
        <v>2500.0</v>
      </c>
      <c r="G2195" s="13">
        <v>2500.0</v>
      </c>
      <c r="H2195" s="13">
        <v>2000.0</v>
      </c>
    </row>
    <row r="2196">
      <c r="D2196" s="13"/>
      <c r="E2196" s="13"/>
      <c r="F2196" s="13"/>
    </row>
    <row r="2197">
      <c r="D2197" s="13"/>
      <c r="E2197" s="13"/>
      <c r="F2197" s="13"/>
    </row>
    <row r="2198">
      <c r="B2198" s="13" t="s">
        <v>521</v>
      </c>
      <c r="C2198" s="79" t="s">
        <v>1255</v>
      </c>
      <c r="D2198" s="13" t="s">
        <v>1579</v>
      </c>
      <c r="E2198" s="13" t="s">
        <v>429</v>
      </c>
      <c r="F2198" s="13">
        <v>19000.0</v>
      </c>
      <c r="G2198" s="13">
        <v>38000.0</v>
      </c>
      <c r="H2198" s="32">
        <f>15700*2</f>
        <v>31400</v>
      </c>
    </row>
    <row r="2199">
      <c r="D2199" s="13"/>
      <c r="E2199" s="13"/>
      <c r="F2199" s="13"/>
    </row>
    <row r="2200">
      <c r="D2200" s="13"/>
      <c r="E2200" s="13"/>
      <c r="F2200" s="13"/>
    </row>
    <row r="2201">
      <c r="C2201" s="14"/>
      <c r="F2201" s="13"/>
    </row>
    <row r="2202">
      <c r="D2202" s="13"/>
      <c r="E2202" s="13"/>
      <c r="F2202" s="13"/>
    </row>
    <row r="2203">
      <c r="D2203" s="13"/>
      <c r="E2203" s="13"/>
      <c r="F2203" s="13"/>
    </row>
    <row r="2204">
      <c r="B2204" s="13" t="s">
        <v>521</v>
      </c>
      <c r="C2204" s="79" t="s">
        <v>1712</v>
      </c>
      <c r="D2204" s="13" t="s">
        <v>924</v>
      </c>
      <c r="E2204" s="13" t="s">
        <v>426</v>
      </c>
      <c r="F2204" s="13">
        <v>4400.0</v>
      </c>
      <c r="G2204" s="13">
        <v>4000.0</v>
      </c>
      <c r="H2204" s="13">
        <v>3600.0</v>
      </c>
    </row>
    <row r="2205">
      <c r="D2205" s="13" t="s">
        <v>687</v>
      </c>
      <c r="E2205" s="13" t="s">
        <v>426</v>
      </c>
      <c r="F2205" s="13">
        <v>3600.0</v>
      </c>
      <c r="G2205" s="13">
        <v>3600.0</v>
      </c>
      <c r="H2205" s="13">
        <v>3000.0</v>
      </c>
    </row>
    <row r="2206">
      <c r="D2206" s="13" t="s">
        <v>1713</v>
      </c>
      <c r="E2206" s="13" t="s">
        <v>1714</v>
      </c>
      <c r="F2206" s="13">
        <v>1000.0</v>
      </c>
      <c r="G2206" s="13">
        <v>1000.0</v>
      </c>
      <c r="H2206" s="13">
        <v>640.0</v>
      </c>
    </row>
    <row r="2207">
      <c r="D2207" s="13" t="s">
        <v>740</v>
      </c>
      <c r="E2207" s="13" t="s">
        <v>426</v>
      </c>
      <c r="F2207" s="13">
        <v>2500.0</v>
      </c>
      <c r="G2207" s="13">
        <v>2500.0</v>
      </c>
      <c r="H2207" s="13">
        <v>2400.0</v>
      </c>
    </row>
    <row r="2208">
      <c r="D2208" s="13" t="s">
        <v>1715</v>
      </c>
      <c r="E2208" s="13" t="s">
        <v>426</v>
      </c>
      <c r="F2208" s="13">
        <v>8000.0</v>
      </c>
      <c r="G2208" s="13">
        <v>8000.0</v>
      </c>
      <c r="H2208" s="13">
        <v>6600.0</v>
      </c>
    </row>
    <row r="2209">
      <c r="D2209" s="13" t="s">
        <v>971</v>
      </c>
      <c r="E2209" s="13" t="s">
        <v>426</v>
      </c>
      <c r="F2209" s="13">
        <v>5000.0</v>
      </c>
      <c r="G2209" s="13">
        <v>5000.0</v>
      </c>
      <c r="H2209" s="13">
        <v>3300.0</v>
      </c>
    </row>
    <row r="2210">
      <c r="D2210" s="13"/>
      <c r="E2210" s="13"/>
      <c r="F2210" s="13"/>
    </row>
    <row r="2211">
      <c r="D2211" s="13"/>
      <c r="E2211" s="13"/>
      <c r="F2211" s="13"/>
    </row>
    <row r="2212">
      <c r="C2212" s="79" t="s">
        <v>1716</v>
      </c>
      <c r="D2212" s="13" t="s">
        <v>908</v>
      </c>
      <c r="E2212" s="13" t="s">
        <v>426</v>
      </c>
      <c r="F2212" s="13">
        <v>7500.0</v>
      </c>
      <c r="G2212" s="13">
        <v>7500.0</v>
      </c>
      <c r="H2212" s="13">
        <v>5800.0</v>
      </c>
    </row>
    <row r="2213">
      <c r="D2213" s="13" t="s">
        <v>1717</v>
      </c>
      <c r="E2213" s="13" t="s">
        <v>426</v>
      </c>
      <c r="F2213" s="13">
        <v>7700.0</v>
      </c>
      <c r="G2213" s="13">
        <v>7700.0</v>
      </c>
      <c r="H2213" s="13">
        <v>6400.0</v>
      </c>
    </row>
    <row r="2214">
      <c r="D2214" s="13"/>
      <c r="E2214" s="13"/>
      <c r="F2214" s="13"/>
    </row>
    <row r="2215">
      <c r="D2215" s="13"/>
      <c r="E2215" s="13"/>
      <c r="F2215" s="13"/>
    </row>
    <row r="2216">
      <c r="B2216" s="13" t="s">
        <v>1718</v>
      </c>
      <c r="C2216" s="79" t="s">
        <v>560</v>
      </c>
      <c r="D2216" s="13" t="s">
        <v>1101</v>
      </c>
      <c r="E2216" s="13" t="s">
        <v>426</v>
      </c>
      <c r="F2216" s="13">
        <v>19000.0</v>
      </c>
      <c r="G2216" s="13">
        <v>19000.0</v>
      </c>
      <c r="H2216" s="13">
        <v>15700.0</v>
      </c>
    </row>
    <row r="2217">
      <c r="D2217" s="13" t="s">
        <v>822</v>
      </c>
      <c r="E2217" s="13" t="s">
        <v>426</v>
      </c>
      <c r="F2217" s="13">
        <v>17000.0</v>
      </c>
      <c r="G2217" s="13">
        <v>17000.0</v>
      </c>
      <c r="H2217" s="13">
        <v>14700.0</v>
      </c>
    </row>
    <row r="2218">
      <c r="D2218" s="13"/>
      <c r="E2218" s="13"/>
      <c r="F2218" s="13"/>
    </row>
    <row r="2219">
      <c r="D2219" s="13"/>
      <c r="E2219" s="13"/>
      <c r="F2219" s="13"/>
    </row>
    <row r="2220">
      <c r="C2220" s="79" t="s">
        <v>497</v>
      </c>
      <c r="D2220" s="13" t="s">
        <v>1719</v>
      </c>
      <c r="E2220" s="13" t="s">
        <v>426</v>
      </c>
      <c r="F2220" s="13">
        <v>33200.0</v>
      </c>
      <c r="G2220" s="13">
        <v>33200.0</v>
      </c>
      <c r="H2220" s="13">
        <v>27600.0</v>
      </c>
    </row>
    <row r="2221">
      <c r="D2221" s="13"/>
      <c r="E2221" s="13"/>
      <c r="F2221" s="13"/>
    </row>
    <row r="2222">
      <c r="B2222" s="13" t="s">
        <v>521</v>
      </c>
      <c r="C2222" s="79" t="s">
        <v>1720</v>
      </c>
      <c r="D2222" s="13" t="s">
        <v>1721</v>
      </c>
      <c r="E2222" s="13">
        <v>1.0</v>
      </c>
      <c r="F2222" s="13">
        <v>7200.0</v>
      </c>
      <c r="G2222" s="13">
        <v>7200.0</v>
      </c>
      <c r="H2222" s="13">
        <v>5900.0</v>
      </c>
    </row>
    <row r="2223">
      <c r="D2223" s="13"/>
      <c r="E2223" s="13"/>
      <c r="F2223" s="13"/>
    </row>
    <row r="2224">
      <c r="D2224" s="13"/>
      <c r="E2224" s="13"/>
      <c r="F2224" s="13"/>
    </row>
    <row r="2225">
      <c r="B2225" s="13" t="s">
        <v>811</v>
      </c>
      <c r="C2225" s="79" t="s">
        <v>1596</v>
      </c>
      <c r="D2225" s="13" t="s">
        <v>713</v>
      </c>
      <c r="E2225" s="13" t="s">
        <v>426</v>
      </c>
      <c r="F2225" s="13">
        <v>2500.0</v>
      </c>
      <c r="G2225" s="13">
        <v>2500.0</v>
      </c>
      <c r="H2225" s="13">
        <v>2400.0</v>
      </c>
    </row>
    <row r="2226">
      <c r="D2226" s="13" t="s">
        <v>607</v>
      </c>
      <c r="E2226" s="13" t="s">
        <v>426</v>
      </c>
      <c r="F2226" s="13">
        <v>9300.0</v>
      </c>
      <c r="G2226" s="13">
        <v>9300.0</v>
      </c>
      <c r="H2226" s="13">
        <v>7700.0</v>
      </c>
    </row>
    <row r="2227">
      <c r="D2227" s="13" t="s">
        <v>549</v>
      </c>
      <c r="E2227" s="13" t="s">
        <v>426</v>
      </c>
      <c r="F2227" s="13">
        <v>17000.0</v>
      </c>
      <c r="G2227" s="13">
        <v>17000.0</v>
      </c>
      <c r="H2227" s="13">
        <v>14700.0</v>
      </c>
    </row>
    <row r="2228">
      <c r="D2228" s="13" t="s">
        <v>584</v>
      </c>
      <c r="E2228" s="13">
        <v>1.0</v>
      </c>
      <c r="F2228" s="13">
        <v>2500.0</v>
      </c>
      <c r="G2228" s="13">
        <v>2500.0</v>
      </c>
      <c r="H2228" s="13">
        <v>2000.0</v>
      </c>
    </row>
    <row r="2229">
      <c r="D2229" s="13" t="s">
        <v>558</v>
      </c>
      <c r="E2229" s="13" t="s">
        <v>426</v>
      </c>
      <c r="F2229" s="13">
        <v>4400.0</v>
      </c>
      <c r="G2229" s="13">
        <v>4400.0</v>
      </c>
      <c r="H2229" s="13">
        <v>3600.0</v>
      </c>
    </row>
    <row r="2230">
      <c r="D2230" s="13"/>
      <c r="E2230" s="13"/>
      <c r="F2230" s="13"/>
    </row>
    <row r="2231">
      <c r="D2231" s="13"/>
      <c r="E2231" s="13"/>
      <c r="F2231" s="13"/>
    </row>
    <row r="2232">
      <c r="B2232" s="14" t="s">
        <v>521</v>
      </c>
      <c r="C2232" s="79" t="s">
        <v>1722</v>
      </c>
      <c r="D2232" s="13" t="s">
        <v>606</v>
      </c>
      <c r="E2232" s="13" t="s">
        <v>426</v>
      </c>
      <c r="F2232" s="13">
        <v>6300.0</v>
      </c>
      <c r="G2232" s="13">
        <v>6300.0</v>
      </c>
      <c r="H2232" s="13">
        <v>5200.0</v>
      </c>
    </row>
    <row r="2233">
      <c r="D2233" s="13" t="s">
        <v>732</v>
      </c>
      <c r="E2233" s="13" t="s">
        <v>426</v>
      </c>
      <c r="F2233" s="13">
        <v>12000.0</v>
      </c>
      <c r="G2233" s="13">
        <v>12000.0</v>
      </c>
      <c r="H2233" s="13">
        <v>9500.0</v>
      </c>
    </row>
    <row r="2234">
      <c r="D2234" s="13" t="s">
        <v>1029</v>
      </c>
      <c r="E2234" s="13">
        <v>1.0</v>
      </c>
      <c r="F2234" s="13">
        <v>3500.0</v>
      </c>
      <c r="G2234" s="13">
        <v>3500.0</v>
      </c>
      <c r="H2234" s="13">
        <v>2900.0</v>
      </c>
    </row>
    <row r="2235">
      <c r="D2235" s="13" t="s">
        <v>635</v>
      </c>
      <c r="E2235" s="13" t="s">
        <v>426</v>
      </c>
      <c r="F2235" s="13">
        <v>7500.0</v>
      </c>
      <c r="G2235" s="13">
        <v>7500.0</v>
      </c>
      <c r="H2235" s="13">
        <v>5800.0</v>
      </c>
    </row>
    <row r="2236">
      <c r="D2236" s="13"/>
      <c r="E2236" s="13"/>
      <c r="F2236" s="13"/>
    </row>
    <row r="2237">
      <c r="D2237" s="13"/>
      <c r="E2237" s="13"/>
      <c r="F2237" s="13"/>
    </row>
    <row r="2238">
      <c r="B2238" s="13" t="s">
        <v>811</v>
      </c>
      <c r="C2238" s="79" t="s">
        <v>987</v>
      </c>
      <c r="D2238" s="13" t="s">
        <v>822</v>
      </c>
      <c r="E2238" s="13" t="s">
        <v>426</v>
      </c>
      <c r="F2238" s="13">
        <v>17000.0</v>
      </c>
      <c r="G2238" s="13">
        <v>17000.0</v>
      </c>
      <c r="H2238" s="13">
        <v>14700.0</v>
      </c>
    </row>
    <row r="2239">
      <c r="D2239" s="13" t="s">
        <v>551</v>
      </c>
      <c r="E2239" s="13" t="s">
        <v>426</v>
      </c>
      <c r="F2239" s="13">
        <v>23000.0</v>
      </c>
      <c r="G2239" s="13">
        <v>23000.0</v>
      </c>
      <c r="H2239" s="13">
        <v>19200.0</v>
      </c>
    </row>
    <row r="2240">
      <c r="D2240" s="13" t="s">
        <v>823</v>
      </c>
      <c r="E2240" s="13" t="s">
        <v>426</v>
      </c>
      <c r="F2240" s="13">
        <v>3000.0</v>
      </c>
      <c r="G2240" s="13">
        <v>3000.0</v>
      </c>
      <c r="H2240" s="13">
        <v>2400.0</v>
      </c>
    </row>
    <row r="2241">
      <c r="D2241" s="13" t="s">
        <v>644</v>
      </c>
      <c r="E2241" s="13">
        <v>1.0</v>
      </c>
      <c r="F2241" s="13">
        <v>2500.0</v>
      </c>
      <c r="G2241" s="13">
        <v>2500.0</v>
      </c>
      <c r="H2241" s="13">
        <v>2000.0</v>
      </c>
    </row>
    <row r="2242">
      <c r="D2242" s="13" t="s">
        <v>1723</v>
      </c>
      <c r="E2242" s="13" t="s">
        <v>426</v>
      </c>
      <c r="F2242" s="13">
        <v>4200.0</v>
      </c>
      <c r="G2242" s="13">
        <v>4200.0</v>
      </c>
      <c r="H2242" s="13">
        <v>3400.0</v>
      </c>
    </row>
    <row r="2243">
      <c r="D2243" s="13"/>
      <c r="E2243" s="13"/>
      <c r="F2243" s="13"/>
    </row>
    <row r="2244">
      <c r="D2244" s="13"/>
      <c r="E2244" s="13"/>
      <c r="F2244" s="13"/>
    </row>
    <row r="2245">
      <c r="D2245" s="13"/>
      <c r="E2245" s="13"/>
      <c r="F2245" s="13"/>
    </row>
    <row r="2246">
      <c r="B2246" s="13" t="s">
        <v>811</v>
      </c>
      <c r="C2246" s="79" t="s">
        <v>1724</v>
      </c>
      <c r="D2246" s="13" t="s">
        <v>1725</v>
      </c>
      <c r="E2246" s="13" t="s">
        <v>426</v>
      </c>
      <c r="F2246" s="13">
        <v>3200.0</v>
      </c>
      <c r="G2246" s="13">
        <v>3200.0</v>
      </c>
      <c r="H2246" s="13">
        <v>2000.0</v>
      </c>
    </row>
    <row r="2247">
      <c r="D2247" s="13" t="s">
        <v>555</v>
      </c>
      <c r="E2247" s="13" t="s">
        <v>426</v>
      </c>
      <c r="F2247" s="13">
        <v>4100.0</v>
      </c>
      <c r="G2247" s="13">
        <v>4100.0</v>
      </c>
      <c r="H2247" s="13">
        <v>3500.0</v>
      </c>
    </row>
    <row r="2248">
      <c r="D2248" s="13" t="s">
        <v>822</v>
      </c>
      <c r="E2248" s="13" t="s">
        <v>426</v>
      </c>
      <c r="F2248" s="13">
        <v>17000.0</v>
      </c>
      <c r="G2248" s="13">
        <v>17000.0</v>
      </c>
      <c r="H2248" s="13">
        <v>14700.0</v>
      </c>
    </row>
    <row r="2249">
      <c r="D2249" s="13" t="s">
        <v>1275</v>
      </c>
      <c r="E2249" s="13" t="s">
        <v>426</v>
      </c>
      <c r="F2249" s="13">
        <v>17500.0</v>
      </c>
      <c r="G2249" s="13">
        <v>17500.0</v>
      </c>
      <c r="H2249" s="13">
        <v>14000.0</v>
      </c>
    </row>
    <row r="2250">
      <c r="D2250" s="13" t="s">
        <v>908</v>
      </c>
      <c r="E2250" s="13" t="s">
        <v>426</v>
      </c>
      <c r="F2250" s="13">
        <v>7500.0</v>
      </c>
      <c r="G2250" s="13">
        <v>7500.0</v>
      </c>
      <c r="H2250" s="13">
        <v>5800.0</v>
      </c>
    </row>
    <row r="2251">
      <c r="D2251" s="13" t="s">
        <v>1726</v>
      </c>
      <c r="E2251" s="13"/>
      <c r="F2251" s="13">
        <v>3000.0</v>
      </c>
      <c r="G2251" s="13">
        <v>6000.0</v>
      </c>
      <c r="H2251" s="13">
        <v>4720.0</v>
      </c>
    </row>
    <row r="2252">
      <c r="D2252" s="13"/>
      <c r="E2252" s="13"/>
      <c r="F2252" s="13"/>
    </row>
    <row r="2253">
      <c r="D2253" s="13"/>
      <c r="E2253" s="13"/>
      <c r="F2253" s="13"/>
    </row>
    <row r="2254">
      <c r="B2254" s="13" t="s">
        <v>521</v>
      </c>
      <c r="C2254" s="79" t="s">
        <v>1727</v>
      </c>
      <c r="D2254" s="13" t="s">
        <v>818</v>
      </c>
      <c r="E2254" s="13" t="s">
        <v>727</v>
      </c>
      <c r="F2254" s="19">
        <v>21000.0</v>
      </c>
      <c r="G2254" s="13">
        <v>21000.0</v>
      </c>
      <c r="H2254" s="32">
        <f>34000/2</f>
        <v>17000</v>
      </c>
    </row>
    <row r="2255">
      <c r="D2255" s="13"/>
      <c r="E2255" s="13"/>
      <c r="F2255" s="13"/>
    </row>
    <row r="2256">
      <c r="D2256" s="13"/>
      <c r="E2256" s="13"/>
      <c r="F2256" s="13"/>
    </row>
    <row r="2257">
      <c r="B2257" s="13" t="s">
        <v>521</v>
      </c>
      <c r="C2257" s="79" t="s">
        <v>1728</v>
      </c>
      <c r="D2257" s="13" t="s">
        <v>1150</v>
      </c>
      <c r="E2257" s="13" t="s">
        <v>426</v>
      </c>
      <c r="F2257" s="13">
        <v>21600.0</v>
      </c>
      <c r="G2257" s="13">
        <v>21600.0</v>
      </c>
      <c r="H2257" s="13">
        <v>19000.0</v>
      </c>
    </row>
    <row r="2258">
      <c r="D2258" s="13" t="s">
        <v>818</v>
      </c>
      <c r="E2258" s="13" t="s">
        <v>426</v>
      </c>
      <c r="F2258" s="13">
        <v>41000.0</v>
      </c>
      <c r="G2258" s="13">
        <v>41000.0</v>
      </c>
      <c r="H2258" s="13">
        <v>34000.0</v>
      </c>
    </row>
    <row r="2259">
      <c r="D2259" s="13" t="s">
        <v>1474</v>
      </c>
      <c r="E2259" s="13" t="s">
        <v>426</v>
      </c>
      <c r="F2259" s="13">
        <v>23000.0</v>
      </c>
      <c r="G2259" s="13">
        <v>23000.0</v>
      </c>
      <c r="H2259" s="13">
        <v>19000.0</v>
      </c>
    </row>
    <row r="2260">
      <c r="D2260" s="13" t="s">
        <v>1729</v>
      </c>
      <c r="E2260" s="13" t="s">
        <v>814</v>
      </c>
      <c r="F2260" s="13">
        <v>9000.0</v>
      </c>
      <c r="G2260" s="13">
        <v>9000.0</v>
      </c>
      <c r="H2260" s="32">
        <f>16000/4</f>
        <v>4000</v>
      </c>
    </row>
    <row r="2261">
      <c r="D2261" s="13"/>
      <c r="E2261" s="13"/>
      <c r="F2261" s="13"/>
    </row>
    <row r="2262">
      <c r="B2262" s="13" t="s">
        <v>1730</v>
      </c>
      <c r="C2262" s="79" t="s">
        <v>1731</v>
      </c>
      <c r="D2262" s="13" t="s">
        <v>533</v>
      </c>
      <c r="E2262" s="13" t="s">
        <v>426</v>
      </c>
      <c r="F2262" s="13">
        <v>2400.0</v>
      </c>
      <c r="G2262" s="13">
        <v>2400.0</v>
      </c>
      <c r="H2262" s="13">
        <v>2400.0</v>
      </c>
    </row>
    <row r="2263">
      <c r="D2263" s="13" t="s">
        <v>1732</v>
      </c>
      <c r="E2263" s="13" t="s">
        <v>426</v>
      </c>
      <c r="I2263" s="13" t="s">
        <v>1014</v>
      </c>
    </row>
    <row r="2264">
      <c r="D2264" s="13" t="s">
        <v>924</v>
      </c>
      <c r="E2264" s="13" t="s">
        <v>426</v>
      </c>
      <c r="F2264" s="13">
        <v>3700.0</v>
      </c>
      <c r="G2264" s="13">
        <v>3700.0</v>
      </c>
      <c r="H2264" s="13">
        <v>3700.0</v>
      </c>
    </row>
    <row r="2265">
      <c r="D2265" s="13" t="s">
        <v>1733</v>
      </c>
      <c r="E2265" s="13" t="s">
        <v>426</v>
      </c>
      <c r="F2265" s="13">
        <v>3720.0</v>
      </c>
      <c r="G2265" s="13">
        <v>3720.0</v>
      </c>
      <c r="H2265" s="13">
        <v>3720.0</v>
      </c>
    </row>
    <row r="2266">
      <c r="D2266" s="13" t="s">
        <v>1734</v>
      </c>
      <c r="E2266" s="13">
        <v>1.0</v>
      </c>
      <c r="F2266" s="13">
        <v>1500.0</v>
      </c>
      <c r="G2266" s="13">
        <v>1500.0</v>
      </c>
      <c r="H2266" s="13">
        <v>1500.0</v>
      </c>
    </row>
    <row r="2267">
      <c r="D2267" s="13" t="s">
        <v>1735</v>
      </c>
      <c r="E2267" s="13" t="s">
        <v>426</v>
      </c>
      <c r="F2267" s="13">
        <v>2000.0</v>
      </c>
      <c r="G2267" s="13">
        <v>2000.0</v>
      </c>
    </row>
    <row r="2268">
      <c r="D2268" s="13" t="s">
        <v>1736</v>
      </c>
      <c r="E2268" s="84">
        <v>45689.0</v>
      </c>
      <c r="F2268" s="13">
        <v>1680.0</v>
      </c>
      <c r="G2268" s="13">
        <v>1680.0</v>
      </c>
    </row>
    <row r="2269">
      <c r="C2269" s="13" t="s">
        <v>1737</v>
      </c>
      <c r="D2269" s="14" t="s">
        <v>1738</v>
      </c>
      <c r="E2269" s="13"/>
      <c r="F2269" s="13">
        <v>3250.0</v>
      </c>
    </row>
    <row r="2270">
      <c r="B2270" s="13" t="s">
        <v>1718</v>
      </c>
      <c r="C2270" s="79" t="s">
        <v>542</v>
      </c>
      <c r="D2270" s="13" t="s">
        <v>1739</v>
      </c>
      <c r="E2270" s="13">
        <v>1.0</v>
      </c>
      <c r="F2270" s="13"/>
      <c r="G2270" s="13">
        <v>2000.0</v>
      </c>
      <c r="H2270" s="13">
        <v>2000.0</v>
      </c>
    </row>
    <row r="2271">
      <c r="D2271" s="13" t="s">
        <v>1740</v>
      </c>
      <c r="E2271" s="13">
        <v>1.0</v>
      </c>
      <c r="F2271" s="13"/>
      <c r="G2271" s="13">
        <v>3400.0</v>
      </c>
      <c r="H2271" s="13">
        <v>3400.0</v>
      </c>
    </row>
    <row r="2272">
      <c r="D2272" s="13"/>
      <c r="E2272" s="13"/>
      <c r="F2272" s="13"/>
    </row>
    <row r="2273">
      <c r="B2273" s="13" t="s">
        <v>521</v>
      </c>
      <c r="C2273" s="79" t="s">
        <v>1741</v>
      </c>
      <c r="D2273" s="13" t="s">
        <v>1192</v>
      </c>
      <c r="E2273" s="13" t="s">
        <v>426</v>
      </c>
      <c r="F2273" s="13">
        <v>7500.0</v>
      </c>
      <c r="G2273" s="13">
        <v>7500.0</v>
      </c>
      <c r="H2273" s="13">
        <v>5800.0</v>
      </c>
    </row>
    <row r="2274">
      <c r="D2274" s="13" t="s">
        <v>823</v>
      </c>
      <c r="E2274" s="13" t="s">
        <v>426</v>
      </c>
      <c r="F2274" s="13">
        <v>3000.0</v>
      </c>
      <c r="G2274" s="13">
        <v>3000.0</v>
      </c>
      <c r="H2274" s="13">
        <v>2400.0</v>
      </c>
    </row>
    <row r="2275">
      <c r="D2275" s="13"/>
      <c r="E2275" s="13"/>
      <c r="F2275" s="13"/>
    </row>
    <row r="2276">
      <c r="C2276" s="79" t="s">
        <v>1742</v>
      </c>
      <c r="D2276" s="13" t="s">
        <v>1743</v>
      </c>
      <c r="E2276" s="13">
        <v>11500.0</v>
      </c>
      <c r="F2276" s="13"/>
      <c r="G2276" s="13">
        <v>11500.0</v>
      </c>
      <c r="H2276" s="13">
        <v>7900.0</v>
      </c>
    </row>
    <row r="2277">
      <c r="D2277" s="13" t="s">
        <v>606</v>
      </c>
      <c r="E2277" s="13" t="s">
        <v>426</v>
      </c>
      <c r="G2277" s="13">
        <v>6300.0</v>
      </c>
      <c r="H2277" s="32">
        <f>20800/4</f>
        <v>5200</v>
      </c>
    </row>
    <row r="2278">
      <c r="D2278" s="13"/>
      <c r="E2278" s="13"/>
      <c r="F2278" s="13"/>
    </row>
    <row r="2279">
      <c r="B2279" s="13" t="s">
        <v>811</v>
      </c>
      <c r="C2279" s="79" t="s">
        <v>1744</v>
      </c>
      <c r="D2279" s="13" t="s">
        <v>822</v>
      </c>
      <c r="E2279" s="13" t="s">
        <v>429</v>
      </c>
      <c r="F2279" s="13">
        <v>17000.0</v>
      </c>
      <c r="G2279" s="13">
        <v>34000.0</v>
      </c>
      <c r="H2279" s="13">
        <f>14700*2</f>
        <v>29400</v>
      </c>
    </row>
    <row r="2280">
      <c r="D2280" s="13" t="s">
        <v>823</v>
      </c>
      <c r="E2280" s="13" t="s">
        <v>426</v>
      </c>
      <c r="F2280" s="13">
        <v>3000.0</v>
      </c>
      <c r="G2280" s="13">
        <v>3000.0</v>
      </c>
      <c r="H2280" s="13">
        <v>2400.0</v>
      </c>
    </row>
    <row r="2281">
      <c r="D2281" s="13" t="s">
        <v>1042</v>
      </c>
      <c r="E2281" s="13" t="s">
        <v>426</v>
      </c>
      <c r="F2281" s="13">
        <v>7200.0</v>
      </c>
      <c r="G2281" s="13">
        <v>7200.0</v>
      </c>
      <c r="H2281" s="13">
        <v>6100.0</v>
      </c>
    </row>
    <row r="2282">
      <c r="D2282" s="13" t="s">
        <v>1745</v>
      </c>
      <c r="E2282" s="13" t="s">
        <v>429</v>
      </c>
      <c r="F2282" s="13"/>
      <c r="G2282" s="13">
        <v>38000.0</v>
      </c>
      <c r="H2282" s="13">
        <v>15700.0</v>
      </c>
    </row>
    <row r="2283">
      <c r="D2283" s="13" t="s">
        <v>606</v>
      </c>
      <c r="E2283" s="13" t="s">
        <v>426</v>
      </c>
      <c r="F2283" s="13"/>
      <c r="G2283" s="13">
        <v>6300.0</v>
      </c>
      <c r="H2283" s="13">
        <v>5200.0</v>
      </c>
    </row>
    <row r="2284">
      <c r="D2284" s="13" t="s">
        <v>1275</v>
      </c>
      <c r="E2284" s="13" t="s">
        <v>426</v>
      </c>
      <c r="F2284" s="13"/>
      <c r="G2284" s="13">
        <v>17500.0</v>
      </c>
      <c r="H2284" s="13">
        <v>14000.0</v>
      </c>
    </row>
    <row r="2285">
      <c r="D2285" s="13" t="s">
        <v>444</v>
      </c>
      <c r="E2285" s="13" t="s">
        <v>426</v>
      </c>
      <c r="F2285" s="13"/>
      <c r="G2285" s="13">
        <v>13000.0</v>
      </c>
      <c r="H2285" s="13">
        <v>10700.0</v>
      </c>
    </row>
    <row r="2286">
      <c r="D2286" s="13" t="s">
        <v>1609</v>
      </c>
      <c r="E2286" s="13" t="s">
        <v>426</v>
      </c>
      <c r="F2286" s="13"/>
      <c r="G2286" s="13">
        <v>5000.0</v>
      </c>
      <c r="H2286" s="13">
        <v>3300.0</v>
      </c>
    </row>
    <row r="2287">
      <c r="D2287" s="13" t="s">
        <v>813</v>
      </c>
      <c r="E2287" s="13" t="s">
        <v>426</v>
      </c>
      <c r="F2287" s="13"/>
      <c r="G2287" s="13">
        <v>41000.0</v>
      </c>
      <c r="H2287" s="13">
        <v>34000.0</v>
      </c>
    </row>
    <row r="2288">
      <c r="D2288" s="13"/>
      <c r="E2288" s="13"/>
      <c r="F2288" s="13"/>
      <c r="G2288" s="13"/>
      <c r="H2288" s="13"/>
    </row>
    <row r="2289">
      <c r="D2289" s="13"/>
      <c r="E2289" s="13"/>
      <c r="F2289" s="13"/>
      <c r="G2289" s="13">
        <f t="shared" ref="G2289:H2289" si="3">SUM(G2157:G2287)</f>
        <v>936100</v>
      </c>
      <c r="H2289" s="13">
        <f t="shared" si="3"/>
        <v>747080</v>
      </c>
      <c r="J2289" s="32">
        <f>G2289-H2289</f>
        <v>189020</v>
      </c>
    </row>
    <row r="2291">
      <c r="D2291" s="13"/>
      <c r="E2291" s="13"/>
      <c r="F2291" s="13"/>
    </row>
    <row r="2292">
      <c r="D2292" s="13"/>
      <c r="E2292" s="13"/>
      <c r="F2292" s="13"/>
    </row>
    <row r="2293">
      <c r="A2293" s="78">
        <v>45998.0</v>
      </c>
      <c r="B2293" s="13" t="s">
        <v>783</v>
      </c>
      <c r="C2293" s="79" t="s">
        <v>1746</v>
      </c>
      <c r="D2293" s="13" t="s">
        <v>1651</v>
      </c>
      <c r="E2293" s="13" t="s">
        <v>727</v>
      </c>
      <c r="F2293" s="13">
        <v>3200.0</v>
      </c>
    </row>
    <row r="2294">
      <c r="D2294" s="13"/>
      <c r="E2294" s="13"/>
      <c r="F2294" s="13"/>
    </row>
    <row r="2295">
      <c r="D2295" s="13"/>
      <c r="E2295" s="13"/>
      <c r="F2295" s="13"/>
    </row>
    <row r="2296">
      <c r="B2296" s="13" t="s">
        <v>811</v>
      </c>
      <c r="C2296" s="79" t="s">
        <v>1297</v>
      </c>
      <c r="D2296" s="13" t="s">
        <v>1747</v>
      </c>
      <c r="E2296" s="13" t="s">
        <v>426</v>
      </c>
      <c r="F2296" s="13">
        <v>3200.0</v>
      </c>
      <c r="G2296" s="13">
        <v>3200.0</v>
      </c>
    </row>
    <row r="2297">
      <c r="D2297" s="13" t="s">
        <v>1333</v>
      </c>
      <c r="E2297" s="13" t="s">
        <v>426</v>
      </c>
      <c r="F2297" s="13"/>
      <c r="G2297" s="13"/>
    </row>
    <row r="2298">
      <c r="D2298" s="13" t="s">
        <v>1748</v>
      </c>
      <c r="E2298" s="13" t="s">
        <v>426</v>
      </c>
      <c r="F2298" s="13">
        <v>21500.0</v>
      </c>
      <c r="G2298" s="13">
        <v>21500.0</v>
      </c>
    </row>
    <row r="2299">
      <c r="D2299" s="13" t="s">
        <v>555</v>
      </c>
      <c r="E2299" s="13" t="s">
        <v>426</v>
      </c>
      <c r="F2299" s="13">
        <v>4200.0</v>
      </c>
      <c r="G2299" s="13">
        <v>4200.0</v>
      </c>
    </row>
    <row r="2300">
      <c r="D2300" s="13" t="s">
        <v>558</v>
      </c>
      <c r="E2300" s="13" t="s">
        <v>426</v>
      </c>
      <c r="F2300" s="13">
        <v>4500.0</v>
      </c>
      <c r="G2300" s="13">
        <v>4500.0</v>
      </c>
    </row>
    <row r="2301">
      <c r="D2301" s="13" t="s">
        <v>1745</v>
      </c>
      <c r="E2301" s="13" t="s">
        <v>426</v>
      </c>
      <c r="F2301" s="13">
        <v>19000.0</v>
      </c>
      <c r="G2301" s="13">
        <v>19000.0</v>
      </c>
    </row>
    <row r="2302">
      <c r="C2302" s="14"/>
      <c r="D2302" s="13" t="s">
        <v>1749</v>
      </c>
      <c r="E2302" s="13">
        <v>1.0</v>
      </c>
      <c r="F2302" s="13">
        <v>12000.0</v>
      </c>
      <c r="G2302" s="13">
        <v>12000.0</v>
      </c>
    </row>
    <row r="2303">
      <c r="C2303" s="14"/>
      <c r="D2303" s="13" t="s">
        <v>732</v>
      </c>
      <c r="E2303" s="13" t="s">
        <v>426</v>
      </c>
      <c r="F2303" s="13">
        <v>12000.0</v>
      </c>
      <c r="G2303" s="13">
        <v>12000.0</v>
      </c>
    </row>
    <row r="2304">
      <c r="C2304" s="14"/>
      <c r="D2304" s="13" t="s">
        <v>630</v>
      </c>
      <c r="E2304" s="13" t="s">
        <v>426</v>
      </c>
      <c r="F2304" s="13">
        <v>7500.0</v>
      </c>
      <c r="G2304" s="13">
        <v>7500.0</v>
      </c>
    </row>
    <row r="2305">
      <c r="C2305" s="14"/>
      <c r="D2305" s="13"/>
      <c r="E2305" s="13"/>
      <c r="F2305" s="13"/>
    </row>
    <row r="2306">
      <c r="B2306" s="13" t="s">
        <v>811</v>
      </c>
      <c r="C2306" s="79" t="s">
        <v>1138</v>
      </c>
      <c r="D2306" s="13" t="s">
        <v>1333</v>
      </c>
      <c r="E2306" s="13" t="s">
        <v>426</v>
      </c>
      <c r="F2306" s="13"/>
      <c r="G2306" s="13"/>
      <c r="H2306" s="13" t="s">
        <v>1014</v>
      </c>
    </row>
    <row r="2307">
      <c r="D2307" s="13" t="s">
        <v>1745</v>
      </c>
      <c r="E2307" s="13" t="s">
        <v>426</v>
      </c>
      <c r="F2307" s="13">
        <v>19000.0</v>
      </c>
      <c r="G2307" s="13">
        <v>19000.0</v>
      </c>
    </row>
    <row r="2308">
      <c r="D2308" s="13" t="s">
        <v>635</v>
      </c>
      <c r="E2308" s="13" t="s">
        <v>429</v>
      </c>
      <c r="F2308" s="13">
        <v>7500.0</v>
      </c>
      <c r="G2308" s="13">
        <v>15000.0</v>
      </c>
    </row>
    <row r="2309">
      <c r="C2309" s="101"/>
      <c r="D2309" s="13" t="s">
        <v>558</v>
      </c>
      <c r="E2309" s="13" t="s">
        <v>1750</v>
      </c>
      <c r="F2309" s="13">
        <v>4400.0</v>
      </c>
      <c r="G2309" s="32">
        <f>10*4400</f>
        <v>44000</v>
      </c>
    </row>
    <row r="2310">
      <c r="D2310" s="13" t="s">
        <v>1751</v>
      </c>
      <c r="E2310" s="13">
        <v>1.0</v>
      </c>
      <c r="F2310" s="13">
        <v>3500.0</v>
      </c>
      <c r="G2310" s="13">
        <v>3500.0</v>
      </c>
    </row>
    <row r="2311">
      <c r="D2311" s="13" t="s">
        <v>591</v>
      </c>
      <c r="E2311" s="13">
        <v>1.0</v>
      </c>
      <c r="F2311" s="13">
        <v>11000.0</v>
      </c>
      <c r="G2311" s="13">
        <v>11000.0</v>
      </c>
    </row>
    <row r="2312">
      <c r="D2312" s="13" t="s">
        <v>1752</v>
      </c>
      <c r="E2312" s="13">
        <v>1.0</v>
      </c>
      <c r="F2312" s="13">
        <v>5800.0</v>
      </c>
      <c r="G2312" s="13">
        <v>5800.0</v>
      </c>
    </row>
    <row r="2313">
      <c r="D2313" s="13" t="s">
        <v>1351</v>
      </c>
      <c r="E2313" s="13">
        <v>4.0</v>
      </c>
      <c r="F2313" s="13">
        <v>1800.0</v>
      </c>
      <c r="G2313" s="32">
        <f>F2313*4</f>
        <v>7200</v>
      </c>
    </row>
    <row r="2314">
      <c r="D2314" s="13" t="s">
        <v>1338</v>
      </c>
      <c r="E2314" s="13" t="s">
        <v>426</v>
      </c>
      <c r="F2314" s="13">
        <v>23000.0</v>
      </c>
      <c r="G2314" s="13">
        <v>21500.0</v>
      </c>
    </row>
    <row r="2315">
      <c r="E2315" s="13"/>
    </row>
    <row r="2316">
      <c r="C2316" s="79" t="s">
        <v>643</v>
      </c>
      <c r="D2316" s="13" t="s">
        <v>551</v>
      </c>
      <c r="E2316" s="13" t="s">
        <v>429</v>
      </c>
      <c r="F2316" s="13">
        <v>23000.0</v>
      </c>
      <c r="G2316" s="13">
        <v>46000.0</v>
      </c>
    </row>
    <row r="2317">
      <c r="D2317" s="13"/>
      <c r="E2317" s="13"/>
      <c r="F2317" s="13"/>
    </row>
    <row r="2318">
      <c r="D2318" s="13"/>
      <c r="E2318" s="13"/>
      <c r="F2318" s="13"/>
    </row>
    <row r="2319">
      <c r="B2319" s="13" t="s">
        <v>811</v>
      </c>
      <c r="C2319" s="79" t="s">
        <v>1753</v>
      </c>
      <c r="D2319" s="13" t="s">
        <v>1338</v>
      </c>
      <c r="E2319" s="13" t="s">
        <v>426</v>
      </c>
      <c r="F2319" s="13">
        <v>21500.0</v>
      </c>
      <c r="G2319" s="13">
        <v>21500.0</v>
      </c>
    </row>
    <row r="2320">
      <c r="D2320" s="13" t="s">
        <v>558</v>
      </c>
      <c r="E2320" s="13" t="s">
        <v>426</v>
      </c>
      <c r="F2320" s="13">
        <v>4500.0</v>
      </c>
      <c r="G2320" s="13">
        <v>4500.0</v>
      </c>
    </row>
    <row r="2321">
      <c r="D2321" s="13"/>
      <c r="E2321" s="13"/>
      <c r="F2321" s="13"/>
    </row>
    <row r="2322">
      <c r="D2322" s="13"/>
      <c r="E2322" s="13"/>
      <c r="F2322" s="13"/>
    </row>
    <row r="2323">
      <c r="C2323" s="79" t="s">
        <v>1754</v>
      </c>
      <c r="D2323" s="13" t="s">
        <v>1755</v>
      </c>
      <c r="E2323" s="13" t="s">
        <v>426</v>
      </c>
      <c r="F2323" s="13">
        <v>11400.0</v>
      </c>
      <c r="G2323" s="13">
        <v>11400.0</v>
      </c>
    </row>
    <row r="2324">
      <c r="D2324" s="13"/>
      <c r="E2324" s="13"/>
      <c r="F2324" s="13"/>
    </row>
    <row r="2325">
      <c r="D2325" s="13"/>
      <c r="E2325" s="13"/>
      <c r="F2325" s="13"/>
    </row>
    <row r="2326">
      <c r="B2326" s="13" t="s">
        <v>757</v>
      </c>
      <c r="C2326" s="79" t="s">
        <v>1756</v>
      </c>
      <c r="D2326" s="13" t="s">
        <v>1094</v>
      </c>
      <c r="E2326" s="13" t="s">
        <v>426</v>
      </c>
      <c r="F2326" s="13">
        <v>7500.0</v>
      </c>
      <c r="G2326" s="13">
        <v>7500.0</v>
      </c>
    </row>
    <row r="2327">
      <c r="D2327" s="13" t="s">
        <v>640</v>
      </c>
      <c r="E2327" s="13" t="s">
        <v>426</v>
      </c>
      <c r="F2327" s="13">
        <v>6300.0</v>
      </c>
      <c r="G2327" s="13">
        <v>6300.0</v>
      </c>
    </row>
    <row r="2328">
      <c r="D2328" s="13" t="s">
        <v>1757</v>
      </c>
      <c r="E2328" s="13" t="s">
        <v>1058</v>
      </c>
      <c r="F2328" s="13">
        <v>17500.0</v>
      </c>
      <c r="G2328" s="13">
        <v>17500.0</v>
      </c>
    </row>
    <row r="2329">
      <c r="D2329" s="13"/>
      <c r="E2329" s="13"/>
      <c r="F2329" s="13"/>
    </row>
    <row r="2330">
      <c r="D2330" s="13"/>
      <c r="E2330" s="13"/>
      <c r="F2330" s="13"/>
    </row>
    <row r="2331">
      <c r="B2331" s="13" t="s">
        <v>1758</v>
      </c>
      <c r="C2331" s="79" t="s">
        <v>1759</v>
      </c>
      <c r="D2331" s="13" t="s">
        <v>924</v>
      </c>
      <c r="E2331" s="13" t="s">
        <v>445</v>
      </c>
      <c r="F2331" s="13">
        <v>4500.0</v>
      </c>
      <c r="G2331" s="13">
        <v>18000.0</v>
      </c>
    </row>
    <row r="2332">
      <c r="B2332" s="13" t="s">
        <v>1760</v>
      </c>
      <c r="D2332" s="13" t="s">
        <v>1761</v>
      </c>
      <c r="E2332" s="13" t="s">
        <v>426</v>
      </c>
      <c r="F2332" s="13">
        <v>4200.0</v>
      </c>
      <c r="G2332" s="13">
        <v>4200.0</v>
      </c>
    </row>
    <row r="2334">
      <c r="D2334" s="13" t="s">
        <v>1762</v>
      </c>
      <c r="E2334" s="13" t="s">
        <v>426</v>
      </c>
      <c r="F2334" s="13">
        <v>2500.0</v>
      </c>
      <c r="G2334" s="13">
        <v>2500.0</v>
      </c>
    </row>
    <row r="2335">
      <c r="D2335" s="13" t="s">
        <v>1666</v>
      </c>
      <c r="E2335" s="13" t="s">
        <v>429</v>
      </c>
      <c r="F2335" s="13">
        <v>7700.0</v>
      </c>
      <c r="G2335" s="13">
        <v>15400.0</v>
      </c>
    </row>
    <row r="2336">
      <c r="D2336" s="13" t="s">
        <v>438</v>
      </c>
      <c r="E2336" s="13" t="s">
        <v>426</v>
      </c>
      <c r="F2336" s="13">
        <v>5800.0</v>
      </c>
      <c r="G2336" s="13">
        <v>5800.0</v>
      </c>
    </row>
    <row r="2337">
      <c r="D2337" s="13" t="s">
        <v>687</v>
      </c>
      <c r="E2337" s="13" t="s">
        <v>426</v>
      </c>
      <c r="F2337" s="13">
        <v>3600.0</v>
      </c>
      <c r="G2337" s="13">
        <v>3600.0</v>
      </c>
    </row>
    <row r="2338">
      <c r="D2338" s="13" t="s">
        <v>911</v>
      </c>
      <c r="E2338" s="13" t="s">
        <v>426</v>
      </c>
      <c r="F2338" s="13">
        <v>12000.0</v>
      </c>
      <c r="G2338" s="13">
        <v>12000.0</v>
      </c>
    </row>
    <row r="2339">
      <c r="D2339" s="13" t="s">
        <v>677</v>
      </c>
      <c r="E2339" s="13" t="s">
        <v>426</v>
      </c>
      <c r="F2339" s="13">
        <v>3000.0</v>
      </c>
      <c r="G2339" s="13">
        <v>3000.0</v>
      </c>
    </row>
    <row r="2340">
      <c r="D2340" s="13" t="s">
        <v>867</v>
      </c>
      <c r="E2340" s="13" t="s">
        <v>426</v>
      </c>
      <c r="F2340" s="13">
        <v>3000.0</v>
      </c>
      <c r="G2340" s="13">
        <v>3000.0</v>
      </c>
    </row>
    <row r="2341">
      <c r="D2341" s="13" t="s">
        <v>640</v>
      </c>
      <c r="E2341" s="13" t="s">
        <v>426</v>
      </c>
      <c r="F2341" s="13">
        <v>6300.0</v>
      </c>
      <c r="G2341" s="13">
        <v>6300.0</v>
      </c>
    </row>
    <row r="2342">
      <c r="D2342" s="13"/>
      <c r="E2342" s="13"/>
      <c r="F2342" s="13"/>
    </row>
    <row r="2343">
      <c r="D2343" s="13"/>
      <c r="E2343" s="13"/>
      <c r="F2343" s="13"/>
    </row>
    <row r="2344">
      <c r="B2344" s="13" t="s">
        <v>783</v>
      </c>
      <c r="C2344" s="79" t="s">
        <v>1400</v>
      </c>
      <c r="D2344" s="13" t="s">
        <v>1763</v>
      </c>
      <c r="E2344" s="13">
        <v>1.0</v>
      </c>
      <c r="F2344" s="13">
        <v>12000.0</v>
      </c>
      <c r="G2344" s="13">
        <v>12000.0</v>
      </c>
    </row>
    <row r="2345">
      <c r="D2345" s="13"/>
      <c r="E2345" s="13"/>
      <c r="F2345" s="13"/>
    </row>
    <row r="2346">
      <c r="D2346" s="13"/>
      <c r="E2346" s="13"/>
      <c r="F2346" s="13"/>
    </row>
    <row r="2347">
      <c r="B2347" s="13" t="s">
        <v>783</v>
      </c>
      <c r="C2347" s="79" t="s">
        <v>1764</v>
      </c>
      <c r="D2347" s="13" t="s">
        <v>1763</v>
      </c>
      <c r="E2347" s="13">
        <v>2.0</v>
      </c>
      <c r="F2347" s="13">
        <v>12000.0</v>
      </c>
      <c r="G2347" s="13">
        <v>24000.0</v>
      </c>
    </row>
    <row r="2348">
      <c r="D2348" s="13"/>
      <c r="E2348" s="13"/>
      <c r="F2348" s="13"/>
    </row>
    <row r="2349">
      <c r="B2349" s="13" t="s">
        <v>811</v>
      </c>
      <c r="C2349" s="79" t="s">
        <v>1765</v>
      </c>
      <c r="D2349" s="13" t="s">
        <v>1766</v>
      </c>
      <c r="E2349" s="13">
        <v>1.0</v>
      </c>
      <c r="F2349" s="13"/>
      <c r="G2349" s="13">
        <v>10000.0</v>
      </c>
    </row>
    <row r="2350">
      <c r="D2350" s="13" t="s">
        <v>732</v>
      </c>
      <c r="E2350" s="84">
        <v>45689.0</v>
      </c>
      <c r="F2350" s="13">
        <v>12000.0</v>
      </c>
      <c r="G2350" s="13">
        <v>6000.0</v>
      </c>
      <c r="H2350" s="13" t="s">
        <v>1767</v>
      </c>
    </row>
    <row r="2351">
      <c r="D2351" s="13"/>
      <c r="E2351" s="13"/>
      <c r="F2351" s="13"/>
    </row>
    <row r="2352">
      <c r="B2352" s="13" t="s">
        <v>811</v>
      </c>
      <c r="C2352" s="79" t="s">
        <v>1768</v>
      </c>
      <c r="D2352" s="13" t="s">
        <v>1136</v>
      </c>
      <c r="E2352" s="13" t="s">
        <v>426</v>
      </c>
      <c r="F2352" s="13">
        <v>5000.0</v>
      </c>
      <c r="G2352" s="13">
        <v>5000.0</v>
      </c>
    </row>
    <row r="2353">
      <c r="D2353" s="13" t="s">
        <v>1181</v>
      </c>
      <c r="E2353" s="13" t="s">
        <v>426</v>
      </c>
      <c r="F2353" s="13"/>
      <c r="G2353" s="13"/>
    </row>
    <row r="2354">
      <c r="D2354" s="13"/>
      <c r="E2354" s="13"/>
      <c r="F2354" s="13"/>
    </row>
    <row r="2355">
      <c r="D2355" s="13"/>
      <c r="E2355" s="13"/>
      <c r="F2355" s="13"/>
    </row>
    <row r="2356">
      <c r="B2356" s="13" t="s">
        <v>811</v>
      </c>
      <c r="C2356" s="79" t="s">
        <v>1769</v>
      </c>
      <c r="D2356" s="13" t="s">
        <v>1770</v>
      </c>
      <c r="E2356" s="13" t="s">
        <v>426</v>
      </c>
      <c r="F2356" s="13"/>
      <c r="G2356" s="13">
        <v>20000.0</v>
      </c>
    </row>
    <row r="2357">
      <c r="D2357" s="13" t="s">
        <v>822</v>
      </c>
      <c r="E2357" s="13" t="s">
        <v>426</v>
      </c>
      <c r="F2357" s="13"/>
      <c r="G2357" s="13">
        <v>18000.0</v>
      </c>
    </row>
    <row r="2358">
      <c r="D2358" s="13" t="s">
        <v>598</v>
      </c>
      <c r="E2358" s="13" t="s">
        <v>426</v>
      </c>
      <c r="F2358" s="13"/>
      <c r="G2358" s="13">
        <v>23000.0</v>
      </c>
    </row>
    <row r="2359">
      <c r="D2359" s="13"/>
      <c r="E2359" s="13"/>
      <c r="F2359" s="13"/>
    </row>
    <row r="2360">
      <c r="D2360" s="13"/>
      <c r="E2360" s="13"/>
      <c r="F2360" s="13"/>
    </row>
    <row r="2361">
      <c r="C2361" s="79" t="s">
        <v>1771</v>
      </c>
      <c r="D2361" s="13" t="s">
        <v>558</v>
      </c>
      <c r="E2361" s="13" t="s">
        <v>445</v>
      </c>
      <c r="F2361" s="13">
        <v>4500.0</v>
      </c>
      <c r="G2361" s="32">
        <f>4*F2361</f>
        <v>18000</v>
      </c>
    </row>
    <row r="2362">
      <c r="D2362" s="13"/>
      <c r="E2362" s="13"/>
      <c r="F2362" s="13"/>
    </row>
    <row r="2363">
      <c r="D2363" s="13"/>
      <c r="E2363" s="13"/>
      <c r="F2363" s="13"/>
    </row>
    <row r="2364">
      <c r="B2364" s="13" t="s">
        <v>811</v>
      </c>
      <c r="C2364" s="79" t="s">
        <v>1772</v>
      </c>
      <c r="D2364" s="13" t="s">
        <v>1128</v>
      </c>
      <c r="E2364" s="13" t="s">
        <v>426</v>
      </c>
      <c r="F2364" s="13">
        <v>18000.0</v>
      </c>
      <c r="G2364" s="13">
        <v>18000.0</v>
      </c>
    </row>
    <row r="2365">
      <c r="D2365" s="13" t="s">
        <v>908</v>
      </c>
      <c r="E2365" s="13" t="s">
        <v>426</v>
      </c>
      <c r="F2365" s="13">
        <v>7500.0</v>
      </c>
      <c r="G2365" s="13">
        <v>7500.0</v>
      </c>
    </row>
    <row r="2366">
      <c r="D2366" s="13"/>
      <c r="E2366" s="13"/>
      <c r="F2366" s="13"/>
    </row>
    <row r="2367">
      <c r="B2367" s="13" t="s">
        <v>1095</v>
      </c>
      <c r="C2367" s="79" t="s">
        <v>1773</v>
      </c>
      <c r="D2367" s="13" t="s">
        <v>780</v>
      </c>
      <c r="E2367" s="13" t="s">
        <v>426</v>
      </c>
      <c r="F2367" s="13">
        <v>12000.0</v>
      </c>
    </row>
    <row r="2368">
      <c r="D2368" s="13" t="s">
        <v>640</v>
      </c>
      <c r="E2368" s="13" t="s">
        <v>693</v>
      </c>
      <c r="F2368" s="13">
        <v>6300.0</v>
      </c>
    </row>
    <row r="2369">
      <c r="D2369" s="13"/>
      <c r="E2369" s="13"/>
      <c r="F2369" s="13"/>
    </row>
    <row r="2370">
      <c r="D2370" s="13"/>
      <c r="E2370" s="13"/>
      <c r="F2370" s="13"/>
    </row>
    <row r="2371">
      <c r="B2371" s="13" t="s">
        <v>757</v>
      </c>
      <c r="C2371" s="79" t="s">
        <v>1575</v>
      </c>
      <c r="D2371" s="13" t="s">
        <v>1666</v>
      </c>
      <c r="E2371" s="13" t="s">
        <v>426</v>
      </c>
      <c r="F2371" s="13">
        <v>7700.0</v>
      </c>
    </row>
    <row r="2372">
      <c r="D2372" s="13"/>
      <c r="E2372" s="13"/>
      <c r="F2372" s="13"/>
    </row>
    <row r="2373">
      <c r="D2373" s="13"/>
      <c r="E2373" s="13"/>
      <c r="F2373" s="13"/>
    </row>
    <row r="2374">
      <c r="B2374" s="13" t="s">
        <v>757</v>
      </c>
      <c r="C2374" s="79" t="s">
        <v>1694</v>
      </c>
      <c r="D2374" s="13" t="s">
        <v>924</v>
      </c>
      <c r="E2374" s="13" t="s">
        <v>426</v>
      </c>
      <c r="F2374" s="13">
        <v>4500.0</v>
      </c>
    </row>
    <row r="2375">
      <c r="D2375" s="13"/>
      <c r="E2375" s="13"/>
      <c r="F2375" s="13"/>
    </row>
    <row r="2376">
      <c r="D2376" s="13"/>
      <c r="E2376" s="13"/>
      <c r="F2376" s="13"/>
    </row>
    <row r="2377">
      <c r="D2377" s="13"/>
      <c r="E2377" s="13"/>
      <c r="F2377" s="13"/>
    </row>
    <row r="2378">
      <c r="D2378" s="13"/>
      <c r="E2378" s="13"/>
      <c r="F2378" s="13"/>
    </row>
    <row r="2379">
      <c r="D2379" s="13"/>
      <c r="E2379" s="13"/>
      <c r="F2379" s="13"/>
    </row>
    <row r="2382">
      <c r="D2382" s="13"/>
      <c r="E2382" s="13"/>
      <c r="F2382" s="13"/>
    </row>
    <row r="2383">
      <c r="D2383" s="13"/>
      <c r="E2383" s="13"/>
      <c r="F2383" s="13"/>
    </row>
    <row r="2384">
      <c r="A2384" s="102">
        <v>46005.0</v>
      </c>
      <c r="C2384" s="79" t="s">
        <v>1774</v>
      </c>
      <c r="D2384" s="13" t="s">
        <v>630</v>
      </c>
      <c r="E2384" s="13" t="s">
        <v>426</v>
      </c>
      <c r="F2384" s="13">
        <v>7500.0</v>
      </c>
    </row>
    <row r="2385">
      <c r="D2385" s="13" t="s">
        <v>590</v>
      </c>
      <c r="E2385" s="13" t="s">
        <v>426</v>
      </c>
      <c r="F2385" s="13">
        <v>3000.0</v>
      </c>
    </row>
    <row r="2386">
      <c r="D2386" s="13" t="s">
        <v>585</v>
      </c>
      <c r="E2386" s="13" t="s">
        <v>426</v>
      </c>
      <c r="F2386" s="13">
        <v>3000.0</v>
      </c>
    </row>
    <row r="2387">
      <c r="D2387" s="13" t="s">
        <v>1739</v>
      </c>
      <c r="E2387" s="13">
        <v>1.0</v>
      </c>
      <c r="F2387" s="13">
        <v>2500.0</v>
      </c>
    </row>
    <row r="2388">
      <c r="D2388" s="13" t="s">
        <v>822</v>
      </c>
      <c r="E2388" s="13" t="s">
        <v>429</v>
      </c>
      <c r="F2388" s="13">
        <v>36000.0</v>
      </c>
    </row>
    <row r="2389">
      <c r="D2389" s="13" t="s">
        <v>1101</v>
      </c>
      <c r="E2389" s="13" t="s">
        <v>429</v>
      </c>
      <c r="F2389" s="13">
        <f>19000*2</f>
        <v>38000</v>
      </c>
    </row>
    <row r="2390">
      <c r="D2390" s="13" t="s">
        <v>824</v>
      </c>
      <c r="E2390" s="13" t="s">
        <v>426</v>
      </c>
      <c r="F2390" s="13">
        <v>11700.0</v>
      </c>
    </row>
    <row r="2391">
      <c r="D2391" s="13" t="s">
        <v>1321</v>
      </c>
      <c r="E2391" s="13" t="s">
        <v>426</v>
      </c>
      <c r="F2391" s="13">
        <v>18000.0</v>
      </c>
    </row>
    <row r="2392">
      <c r="C2392" s="13"/>
      <c r="D2392" s="13" t="s">
        <v>558</v>
      </c>
      <c r="E2392" s="13" t="s">
        <v>434</v>
      </c>
      <c r="F2392" s="13">
        <f>4500*3</f>
        <v>13500</v>
      </c>
    </row>
    <row r="2393">
      <c r="C2393" s="13"/>
      <c r="D2393" s="13" t="s">
        <v>598</v>
      </c>
      <c r="E2393" s="13" t="s">
        <v>426</v>
      </c>
      <c r="F2393" s="13">
        <v>23000.0</v>
      </c>
    </row>
    <row r="2394">
      <c r="C2394" s="13"/>
      <c r="D2394" s="13" t="s">
        <v>955</v>
      </c>
      <c r="E2394" s="13" t="s">
        <v>426</v>
      </c>
      <c r="F2394" s="13">
        <v>6500.0</v>
      </c>
    </row>
    <row r="2395">
      <c r="C2395" s="13"/>
      <c r="D2395" s="13" t="s">
        <v>1775</v>
      </c>
      <c r="E2395" s="13">
        <v>4.0</v>
      </c>
      <c r="F2395" s="13">
        <v>8000.0</v>
      </c>
    </row>
    <row r="2396">
      <c r="C2396" s="13"/>
      <c r="D2396" s="13"/>
      <c r="E2396" s="13"/>
      <c r="F2396" s="13"/>
    </row>
    <row r="2397">
      <c r="B2397" s="13" t="s">
        <v>811</v>
      </c>
      <c r="C2397" s="79" t="s">
        <v>497</v>
      </c>
      <c r="D2397" s="13" t="s">
        <v>822</v>
      </c>
      <c r="E2397" s="13" t="s">
        <v>426</v>
      </c>
      <c r="F2397" s="13">
        <v>18000.0</v>
      </c>
    </row>
    <row r="2398">
      <c r="D2398" s="13" t="s">
        <v>551</v>
      </c>
      <c r="E2398" s="13" t="s">
        <v>1776</v>
      </c>
      <c r="F2398" s="13">
        <f>1.5*23000</f>
        <v>34500</v>
      </c>
    </row>
    <row r="2399">
      <c r="D2399" s="13" t="s">
        <v>1130</v>
      </c>
      <c r="E2399" s="13" t="s">
        <v>426</v>
      </c>
      <c r="F2399" s="13">
        <v>33200.0</v>
      </c>
    </row>
    <row r="2400">
      <c r="D2400" s="13"/>
      <c r="E2400" s="13"/>
      <c r="F2400" s="13"/>
    </row>
    <row r="2401">
      <c r="D2401" s="13"/>
      <c r="E2401" s="13"/>
      <c r="F2401" s="13"/>
    </row>
    <row r="2402">
      <c r="C2402" s="79" t="s">
        <v>1777</v>
      </c>
      <c r="D2402" s="13" t="s">
        <v>606</v>
      </c>
      <c r="E2402" s="13" t="s">
        <v>426</v>
      </c>
      <c r="F2402" s="13"/>
    </row>
    <row r="2403">
      <c r="D2403" s="13"/>
      <c r="E2403" s="13"/>
      <c r="F2403" s="13"/>
    </row>
    <row r="2404">
      <c r="D2404" s="13"/>
      <c r="E2404" s="13"/>
      <c r="F2404" s="13"/>
    </row>
    <row r="2405">
      <c r="B2405" s="13" t="s">
        <v>783</v>
      </c>
      <c r="C2405" s="79" t="s">
        <v>1778</v>
      </c>
      <c r="D2405" s="13" t="s">
        <v>1779</v>
      </c>
      <c r="E2405" s="13" t="s">
        <v>429</v>
      </c>
      <c r="F2405" s="13">
        <v>24000.0</v>
      </c>
    </row>
    <row r="2406">
      <c r="D2406" s="13"/>
      <c r="E2406" s="13"/>
      <c r="F2406" s="13"/>
    </row>
    <row r="2407">
      <c r="B2407" s="13" t="s">
        <v>811</v>
      </c>
      <c r="C2407" s="79" t="s">
        <v>1780</v>
      </c>
      <c r="D2407" s="13" t="s">
        <v>732</v>
      </c>
      <c r="E2407" s="13" t="s">
        <v>426</v>
      </c>
      <c r="F2407" s="13">
        <v>12000.0</v>
      </c>
    </row>
    <row r="2408">
      <c r="D2408" s="13" t="s">
        <v>1128</v>
      </c>
      <c r="E2408" s="13" t="s">
        <v>426</v>
      </c>
      <c r="F2408" s="13">
        <v>18000.0</v>
      </c>
    </row>
    <row r="2410">
      <c r="B2410" s="13" t="s">
        <v>811</v>
      </c>
      <c r="C2410" s="79" t="s">
        <v>1781</v>
      </c>
      <c r="D2410" s="13" t="s">
        <v>824</v>
      </c>
      <c r="E2410" s="13" t="s">
        <v>426</v>
      </c>
      <c r="F2410" s="13">
        <v>11700.0</v>
      </c>
    </row>
    <row r="2412">
      <c r="B2412" s="13" t="s">
        <v>811</v>
      </c>
      <c r="C2412" s="79" t="s">
        <v>1596</v>
      </c>
      <c r="D2412" s="13" t="s">
        <v>558</v>
      </c>
      <c r="E2412" s="13" t="s">
        <v>429</v>
      </c>
    </row>
    <row r="2414">
      <c r="B2414" s="13" t="s">
        <v>811</v>
      </c>
      <c r="C2414" s="79" t="s">
        <v>1782</v>
      </c>
      <c r="D2414" s="13" t="s">
        <v>1783</v>
      </c>
    </row>
    <row r="2416">
      <c r="B2416" s="13" t="s">
        <v>1558</v>
      </c>
      <c r="C2416" s="79" t="s">
        <v>542</v>
      </c>
      <c r="D2416" s="13" t="s">
        <v>584</v>
      </c>
      <c r="E2416" s="13">
        <v>1.0</v>
      </c>
      <c r="F2416" s="13">
        <v>2100.0</v>
      </c>
    </row>
    <row r="2417">
      <c r="D2417" s="13" t="s">
        <v>443</v>
      </c>
      <c r="E2417" s="13" t="s">
        <v>426</v>
      </c>
      <c r="F2417" s="13">
        <v>16000.0</v>
      </c>
    </row>
    <row r="2418">
      <c r="D2418" s="13" t="s">
        <v>551</v>
      </c>
      <c r="E2418" s="13" t="s">
        <v>1784</v>
      </c>
      <c r="F2418" s="13">
        <v>9600.0</v>
      </c>
    </row>
    <row r="2419">
      <c r="D2419" s="13" t="s">
        <v>558</v>
      </c>
      <c r="E2419" s="13" t="s">
        <v>429</v>
      </c>
      <c r="F2419" s="13">
        <v>7600.0</v>
      </c>
    </row>
    <row r="2420">
      <c r="E2420" s="13"/>
      <c r="F2420" s="13"/>
    </row>
    <row r="2421">
      <c r="E2421" s="13"/>
      <c r="F2421" s="13"/>
    </row>
    <row r="2422">
      <c r="C2422" s="79" t="s">
        <v>1785</v>
      </c>
      <c r="D2422" s="13" t="s">
        <v>732</v>
      </c>
      <c r="E2422" s="13" t="s">
        <v>426</v>
      </c>
      <c r="F2422" s="13"/>
    </row>
    <row r="2423">
      <c r="D2423" s="13"/>
      <c r="E2423" s="13"/>
      <c r="F2423" s="13"/>
    </row>
    <row r="2424">
      <c r="A2424" s="13" t="s">
        <v>695</v>
      </c>
      <c r="B2424" s="103" t="s">
        <v>1786</v>
      </c>
      <c r="C2424" s="103" t="s">
        <v>1787</v>
      </c>
      <c r="D2424" s="13" t="s">
        <v>1715</v>
      </c>
      <c r="E2424" s="13" t="s">
        <v>426</v>
      </c>
      <c r="F2424" s="13"/>
    </row>
    <row r="2425">
      <c r="D2425" s="13"/>
      <c r="E2425" s="13"/>
      <c r="F2425" s="13"/>
    </row>
    <row r="2426">
      <c r="D2426" s="13"/>
      <c r="E2426" s="13"/>
      <c r="F2426" s="13"/>
    </row>
    <row r="2427">
      <c r="A2427" s="13" t="s">
        <v>808</v>
      </c>
      <c r="B2427" s="103" t="s">
        <v>1786</v>
      </c>
      <c r="C2427" s="103" t="s">
        <v>875</v>
      </c>
      <c r="D2427" s="13" t="s">
        <v>1788</v>
      </c>
      <c r="E2427" s="13" t="s">
        <v>426</v>
      </c>
      <c r="F2427" s="13">
        <v>20000.0</v>
      </c>
    </row>
    <row r="2428">
      <c r="D2428" s="13"/>
      <c r="E2428" s="13"/>
      <c r="F2428" s="13"/>
    </row>
    <row r="2429">
      <c r="A2429" s="13" t="s">
        <v>808</v>
      </c>
      <c r="B2429" s="103" t="s">
        <v>1786</v>
      </c>
      <c r="C2429" s="103" t="s">
        <v>866</v>
      </c>
      <c r="F2429" s="13"/>
    </row>
    <row r="2430">
      <c r="D2430" s="13" t="s">
        <v>1789</v>
      </c>
      <c r="E2430" s="13">
        <v>1.0</v>
      </c>
      <c r="F2430" s="13">
        <v>2500.0</v>
      </c>
    </row>
    <row r="2431">
      <c r="D2431" s="13" t="s">
        <v>1790</v>
      </c>
      <c r="E2431" s="13" t="s">
        <v>1791</v>
      </c>
      <c r="F2431" s="13">
        <v>4200.0</v>
      </c>
    </row>
    <row r="2432">
      <c r="D2432" s="13" t="s">
        <v>1792</v>
      </c>
      <c r="E2432" s="13" t="s">
        <v>765</v>
      </c>
      <c r="F2432" s="13">
        <v>1800.0</v>
      </c>
    </row>
    <row r="2433">
      <c r="D2433" s="13"/>
      <c r="E2433" s="13"/>
      <c r="F2433" s="13"/>
    </row>
    <row r="2434">
      <c r="A2434" s="13" t="s">
        <v>1793</v>
      </c>
      <c r="B2434" s="103" t="s">
        <v>1786</v>
      </c>
      <c r="C2434" s="103" t="s">
        <v>1794</v>
      </c>
      <c r="D2434" s="13" t="s">
        <v>1795</v>
      </c>
      <c r="E2434" s="13">
        <v>1.0</v>
      </c>
      <c r="F2434" s="13">
        <v>12000.0</v>
      </c>
    </row>
    <row r="2435">
      <c r="D2435" s="13" t="s">
        <v>1796</v>
      </c>
      <c r="E2435" s="13">
        <v>1.0</v>
      </c>
      <c r="F2435" s="13">
        <v>32500.0</v>
      </c>
    </row>
    <row r="2436">
      <c r="D2436" s="13" t="s">
        <v>1797</v>
      </c>
      <c r="E2436" s="13" t="s">
        <v>727</v>
      </c>
      <c r="F2436" s="13" t="s">
        <v>1798</v>
      </c>
    </row>
    <row r="2437">
      <c r="D2437" s="13"/>
      <c r="E2437" s="13"/>
      <c r="F2437" s="13"/>
    </row>
    <row r="2438">
      <c r="B2438" s="103" t="s">
        <v>1786</v>
      </c>
      <c r="C2438" s="103" t="s">
        <v>1799</v>
      </c>
      <c r="D2438" s="103" t="s">
        <v>1800</v>
      </c>
      <c r="E2438" s="13">
        <v>1.0</v>
      </c>
      <c r="F2438" s="13"/>
    </row>
    <row r="2439">
      <c r="D2439" s="13"/>
      <c r="E2439" s="13"/>
      <c r="F2439" s="13"/>
    </row>
    <row r="2440">
      <c r="B2440" s="103" t="s">
        <v>1801</v>
      </c>
      <c r="C2440" s="103" t="s">
        <v>1802</v>
      </c>
      <c r="D2440" s="13" t="s">
        <v>1803</v>
      </c>
      <c r="E2440" s="13" t="s">
        <v>426</v>
      </c>
      <c r="F2440" s="13"/>
    </row>
    <row r="2441">
      <c r="D2441" s="13" t="s">
        <v>824</v>
      </c>
      <c r="E2441" s="13" t="s">
        <v>426</v>
      </c>
      <c r="F2441" s="13"/>
    </row>
    <row r="2442">
      <c r="D2442" s="13"/>
      <c r="E2442" s="13"/>
      <c r="F2442" s="13"/>
    </row>
    <row r="2443">
      <c r="A2443" s="104" t="s">
        <v>1804</v>
      </c>
      <c r="B2443" s="103" t="s">
        <v>1801</v>
      </c>
      <c r="C2443" s="103" t="s">
        <v>714</v>
      </c>
      <c r="D2443" s="13" t="s">
        <v>606</v>
      </c>
      <c r="E2443" s="13" t="s">
        <v>426</v>
      </c>
      <c r="F2443" s="13">
        <v>5200.0</v>
      </c>
    </row>
    <row r="2444">
      <c r="A2444" s="104" t="s">
        <v>1805</v>
      </c>
      <c r="D2444" s="13" t="s">
        <v>1806</v>
      </c>
      <c r="E2444" s="13">
        <v>1.0</v>
      </c>
      <c r="F2444" s="13">
        <v>1500.0</v>
      </c>
    </row>
    <row r="2445">
      <c r="D2445" s="13" t="s">
        <v>1807</v>
      </c>
      <c r="E2445" s="13">
        <v>1.0</v>
      </c>
      <c r="F2445" s="13">
        <v>3250.0</v>
      </c>
    </row>
    <row r="2446">
      <c r="D2446" s="13" t="s">
        <v>1808</v>
      </c>
      <c r="F2446" s="13" t="s">
        <v>1809</v>
      </c>
    </row>
    <row r="2447">
      <c r="D2447" s="13"/>
      <c r="E2447" s="13"/>
      <c r="F2447" s="13"/>
    </row>
    <row r="2448">
      <c r="B2448" s="14"/>
      <c r="C2448" s="14"/>
    </row>
    <row r="2449">
      <c r="D2449" s="13"/>
      <c r="E2449" s="13"/>
      <c r="F2449" s="13"/>
    </row>
    <row r="2450">
      <c r="A2450" s="13" t="s">
        <v>1810</v>
      </c>
      <c r="B2450" s="103" t="s">
        <v>1801</v>
      </c>
      <c r="C2450" s="103" t="s">
        <v>1811</v>
      </c>
      <c r="D2450" s="13" t="s">
        <v>1812</v>
      </c>
      <c r="E2450" s="13" t="s">
        <v>426</v>
      </c>
      <c r="F2450" s="13">
        <v>5000.0</v>
      </c>
    </row>
    <row r="2451">
      <c r="D2451" s="13"/>
      <c r="E2451" s="13"/>
      <c r="F2451" s="13"/>
    </row>
    <row r="2452">
      <c r="B2452" s="103" t="s">
        <v>1801</v>
      </c>
      <c r="C2452" s="103" t="s">
        <v>1813</v>
      </c>
      <c r="D2452" s="13" t="s">
        <v>924</v>
      </c>
      <c r="E2452" s="13" t="s">
        <v>429</v>
      </c>
      <c r="F2452" s="13">
        <v>4500.0</v>
      </c>
      <c r="G2452" s="13">
        <v>9000.0</v>
      </c>
    </row>
    <row r="2453">
      <c r="D2453" s="13"/>
      <c r="E2453" s="13"/>
      <c r="F2453" s="13"/>
    </row>
    <row r="2454">
      <c r="A2454" s="13" t="s">
        <v>808</v>
      </c>
      <c r="B2454" s="103" t="s">
        <v>1801</v>
      </c>
      <c r="C2454" s="103" t="s">
        <v>1814</v>
      </c>
      <c r="D2454" s="13" t="s">
        <v>823</v>
      </c>
      <c r="E2454" s="13" t="s">
        <v>426</v>
      </c>
      <c r="F2454" s="13">
        <v>3000.0</v>
      </c>
    </row>
    <row r="2455">
      <c r="D2455" s="13" t="s">
        <v>543</v>
      </c>
      <c r="E2455" s="13" t="s">
        <v>426</v>
      </c>
      <c r="F2455" s="13">
        <v>8000.0</v>
      </c>
    </row>
    <row r="2456">
      <c r="D2456" s="13" t="s">
        <v>605</v>
      </c>
      <c r="E2456" s="13" t="s">
        <v>426</v>
      </c>
      <c r="F2456" s="13">
        <v>7700.0</v>
      </c>
    </row>
    <row r="2457">
      <c r="D2457" s="13" t="s">
        <v>1815</v>
      </c>
      <c r="E2457" s="13" t="s">
        <v>426</v>
      </c>
      <c r="F2457" s="13"/>
    </row>
    <row r="2458">
      <c r="D2458" s="13" t="s">
        <v>558</v>
      </c>
      <c r="E2458" s="13" t="s">
        <v>429</v>
      </c>
      <c r="F2458" s="13">
        <v>4500.0</v>
      </c>
      <c r="G2458" s="13">
        <v>9000.0</v>
      </c>
    </row>
    <row r="2459">
      <c r="D2459" s="13" t="s">
        <v>1816</v>
      </c>
      <c r="E2459" s="13">
        <v>1.0</v>
      </c>
      <c r="F2459" s="13">
        <v>2500.0</v>
      </c>
    </row>
    <row r="2460">
      <c r="D2460" s="13"/>
      <c r="E2460" s="13"/>
      <c r="F2460" s="13"/>
    </row>
    <row r="2461">
      <c r="D2461" s="13"/>
      <c r="E2461" s="13"/>
      <c r="F2461" s="13"/>
    </row>
    <row r="2462">
      <c r="D2462" s="13"/>
      <c r="E2462" s="13"/>
      <c r="F2462" s="13"/>
    </row>
    <row r="2463">
      <c r="D2463" s="13"/>
      <c r="E2463" s="13"/>
      <c r="F2463" s="13"/>
    </row>
    <row r="2464">
      <c r="D2464" s="13"/>
      <c r="E2464" s="13"/>
      <c r="F2464" s="13"/>
    </row>
    <row r="2465">
      <c r="D2465" s="13"/>
      <c r="E2465" s="13"/>
      <c r="F2465" s="13"/>
    </row>
    <row r="2466">
      <c r="A2466" s="87">
        <v>46011.0</v>
      </c>
      <c r="B2466" s="13" t="s">
        <v>541</v>
      </c>
      <c r="C2466" s="13" t="s">
        <v>825</v>
      </c>
      <c r="D2466" s="13" t="s">
        <v>1817</v>
      </c>
      <c r="E2466" s="13" t="s">
        <v>426</v>
      </c>
      <c r="F2466" s="13">
        <v>20000.0</v>
      </c>
    </row>
    <row r="2467">
      <c r="D2467" s="13" t="s">
        <v>551</v>
      </c>
      <c r="E2467" s="13" t="s">
        <v>426</v>
      </c>
      <c r="F2467" s="13">
        <v>23000.0</v>
      </c>
    </row>
    <row r="2468">
      <c r="D2468" s="13" t="s">
        <v>444</v>
      </c>
      <c r="E2468" s="13" t="s">
        <v>426</v>
      </c>
      <c r="F2468" s="13">
        <v>13000.0</v>
      </c>
    </row>
    <row r="2469">
      <c r="D2469" s="13" t="s">
        <v>555</v>
      </c>
      <c r="E2469" s="13" t="s">
        <v>426</v>
      </c>
      <c r="F2469" s="13">
        <v>4200.0</v>
      </c>
    </row>
    <row r="2470">
      <c r="D2470" s="13" t="s">
        <v>586</v>
      </c>
      <c r="E2470" s="13" t="s">
        <v>426</v>
      </c>
      <c r="F2470" s="13"/>
    </row>
    <row r="2471">
      <c r="D2471" s="13"/>
      <c r="E2471" s="13"/>
      <c r="F2471" s="13"/>
    </row>
    <row r="2472">
      <c r="D2472" s="13"/>
      <c r="E2472" s="13"/>
      <c r="F2472" s="13"/>
    </row>
    <row r="2473">
      <c r="C2473" s="13" t="s">
        <v>1818</v>
      </c>
      <c r="D2473" s="13" t="s">
        <v>449</v>
      </c>
      <c r="E2473" s="13" t="s">
        <v>426</v>
      </c>
      <c r="F2473" s="13"/>
    </row>
    <row r="2474">
      <c r="D2474" s="13"/>
      <c r="E2474" s="13"/>
      <c r="F2474" s="13"/>
    </row>
    <row r="2475">
      <c r="D2475" s="13"/>
      <c r="E2475" s="13"/>
      <c r="F2475" s="13"/>
    </row>
    <row r="2476">
      <c r="B2476" s="13" t="s">
        <v>811</v>
      </c>
      <c r="C2476" s="13" t="s">
        <v>1656</v>
      </c>
      <c r="D2476" s="13" t="s">
        <v>1819</v>
      </c>
      <c r="E2476" s="13">
        <v>1.0</v>
      </c>
      <c r="F2476" s="13"/>
    </row>
    <row r="2477">
      <c r="D2477" s="13" t="s">
        <v>1820</v>
      </c>
      <c r="E2477" s="13">
        <v>1.0</v>
      </c>
      <c r="F2477" s="13">
        <v>12000.0</v>
      </c>
    </row>
    <row r="2478">
      <c r="D2478" s="13"/>
      <c r="E2478" s="13"/>
      <c r="F2478" s="13"/>
    </row>
    <row r="2479">
      <c r="B2479" s="13" t="s">
        <v>521</v>
      </c>
      <c r="C2479" s="13" t="s">
        <v>466</v>
      </c>
      <c r="D2479" s="13" t="s">
        <v>551</v>
      </c>
      <c r="E2479" s="13" t="s">
        <v>426</v>
      </c>
      <c r="F2479" s="13">
        <v>23000.0</v>
      </c>
    </row>
    <row r="2480">
      <c r="D2480" s="13" t="s">
        <v>598</v>
      </c>
      <c r="E2480" s="13" t="s">
        <v>426</v>
      </c>
      <c r="F2480" s="13">
        <v>23000.0</v>
      </c>
    </row>
    <row r="2481">
      <c r="D2481" s="13" t="s">
        <v>630</v>
      </c>
      <c r="E2481" s="13" t="s">
        <v>426</v>
      </c>
      <c r="F2481" s="13">
        <v>7500.0</v>
      </c>
    </row>
    <row r="2482">
      <c r="D2482" s="13" t="s">
        <v>558</v>
      </c>
      <c r="E2482" s="13" t="s">
        <v>429</v>
      </c>
      <c r="F2482" s="13">
        <v>9000.0</v>
      </c>
    </row>
    <row r="2483">
      <c r="D2483" s="13" t="s">
        <v>607</v>
      </c>
      <c r="E2483" s="13" t="s">
        <v>426</v>
      </c>
      <c r="F2483" s="13">
        <v>9300.0</v>
      </c>
    </row>
    <row r="2484">
      <c r="D2484" s="13"/>
      <c r="E2484" s="13"/>
      <c r="F2484" s="13"/>
    </row>
    <row r="2485">
      <c r="D2485" s="13"/>
      <c r="E2485" s="13"/>
      <c r="F2485" s="13"/>
    </row>
    <row r="2486">
      <c r="B2486" s="13" t="s">
        <v>521</v>
      </c>
      <c r="C2486" s="13" t="s">
        <v>1821</v>
      </c>
      <c r="D2486" s="13" t="s">
        <v>1822</v>
      </c>
      <c r="E2486" s="13" t="s">
        <v>426</v>
      </c>
      <c r="F2486" s="13">
        <v>6300.0</v>
      </c>
    </row>
    <row r="2487">
      <c r="D2487" s="13"/>
      <c r="E2487" s="13"/>
      <c r="F2487" s="13"/>
    </row>
    <row r="2488">
      <c r="B2488" s="13" t="s">
        <v>521</v>
      </c>
      <c r="C2488" s="13" t="s">
        <v>1823</v>
      </c>
      <c r="D2488" s="13" t="s">
        <v>555</v>
      </c>
      <c r="E2488" s="13" t="s">
        <v>426</v>
      </c>
      <c r="F2488" s="13">
        <v>4200.0</v>
      </c>
    </row>
    <row r="2489">
      <c r="D2489" s="13" t="s">
        <v>732</v>
      </c>
      <c r="E2489" s="13" t="s">
        <v>426</v>
      </c>
      <c r="F2489" s="13">
        <v>12000.0</v>
      </c>
    </row>
    <row r="2490">
      <c r="D2490" s="13" t="s">
        <v>826</v>
      </c>
      <c r="E2490" s="13" t="s">
        <v>426</v>
      </c>
      <c r="F2490" s="13">
        <v>15600.0</v>
      </c>
    </row>
    <row r="2491">
      <c r="D2491" s="13" t="s">
        <v>540</v>
      </c>
      <c r="E2491" s="13" t="s">
        <v>426</v>
      </c>
      <c r="F2491" s="13">
        <v>3000.0</v>
      </c>
    </row>
    <row r="2492">
      <c r="D2492" s="13"/>
      <c r="E2492" s="13"/>
      <c r="F2492" s="13"/>
    </row>
    <row r="2493">
      <c r="B2493" s="13" t="s">
        <v>743</v>
      </c>
      <c r="C2493" s="13" t="s">
        <v>542</v>
      </c>
      <c r="D2493" s="13" t="s">
        <v>558</v>
      </c>
      <c r="E2493" s="13" t="s">
        <v>426</v>
      </c>
      <c r="F2493" s="13"/>
    </row>
    <row r="2494">
      <c r="D2494" s="13" t="s">
        <v>1820</v>
      </c>
      <c r="E2494" s="13">
        <v>2.0</v>
      </c>
      <c r="F2494" s="13"/>
    </row>
    <row r="2495">
      <c r="D2495" s="13"/>
      <c r="E2495" s="13"/>
      <c r="F2495" s="13"/>
    </row>
    <row r="2496">
      <c r="D2496" s="13"/>
      <c r="E2496" s="13"/>
      <c r="F2496" s="13"/>
    </row>
    <row r="2497">
      <c r="B2497" s="103" t="s">
        <v>1801</v>
      </c>
      <c r="C2497" s="103" t="s">
        <v>1824</v>
      </c>
      <c r="D2497" s="13" t="s">
        <v>1825</v>
      </c>
      <c r="E2497" s="13">
        <v>1.0</v>
      </c>
      <c r="F2497" s="19">
        <v>12000.0</v>
      </c>
      <c r="G2497" s="13">
        <v>12000.0</v>
      </c>
    </row>
    <row r="2498">
      <c r="D2498" s="13"/>
      <c r="E2498" s="13"/>
      <c r="F2498" s="13"/>
    </row>
    <row r="2499">
      <c r="D2499" s="13"/>
      <c r="E2499" s="13"/>
      <c r="F2499" s="13"/>
    </row>
    <row r="2500">
      <c r="B2500" s="103" t="s">
        <v>1801</v>
      </c>
      <c r="C2500" s="103" t="s">
        <v>1826</v>
      </c>
      <c r="D2500" s="13" t="s">
        <v>1827</v>
      </c>
      <c r="E2500" s="13">
        <v>2.0</v>
      </c>
      <c r="F2500" s="13">
        <v>12000.0</v>
      </c>
      <c r="G2500" s="13">
        <v>24000.0</v>
      </c>
    </row>
    <row r="2501">
      <c r="D2501" s="13"/>
      <c r="E2501" s="13"/>
      <c r="F2501" s="13"/>
    </row>
    <row r="2502">
      <c r="A2502" s="13" t="s">
        <v>521</v>
      </c>
      <c r="B2502" s="103" t="s">
        <v>1828</v>
      </c>
      <c r="C2502" s="103" t="s">
        <v>1667</v>
      </c>
      <c r="D2502" s="13" t="s">
        <v>885</v>
      </c>
      <c r="E2502" s="13" t="s">
        <v>426</v>
      </c>
      <c r="F2502" s="13">
        <v>18000.0</v>
      </c>
    </row>
    <row r="2503">
      <c r="D2503" s="13" t="s">
        <v>865</v>
      </c>
      <c r="E2503" s="13" t="s">
        <v>426</v>
      </c>
      <c r="F2503" s="13">
        <v>23000.0</v>
      </c>
    </row>
    <row r="2504">
      <c r="D2504" s="13"/>
      <c r="E2504" s="13"/>
      <c r="F2504" s="13"/>
    </row>
    <row r="2505">
      <c r="D2505" s="13"/>
      <c r="E2505" s="13"/>
      <c r="F2505" s="13"/>
    </row>
    <row r="2506">
      <c r="B2506" s="103" t="s">
        <v>1801</v>
      </c>
      <c r="C2506" s="103" t="s">
        <v>1235</v>
      </c>
      <c r="D2506" s="13" t="s">
        <v>551</v>
      </c>
      <c r="E2506" s="13" t="s">
        <v>1214</v>
      </c>
      <c r="F2506" s="13">
        <v>23000.0</v>
      </c>
    </row>
    <row r="2507">
      <c r="D2507" s="13" t="s">
        <v>813</v>
      </c>
      <c r="E2507" s="13" t="s">
        <v>727</v>
      </c>
      <c r="F2507" s="19">
        <v>21000.0</v>
      </c>
    </row>
    <row r="2508">
      <c r="D2508" s="13"/>
      <c r="E2508" s="13"/>
      <c r="F2508" s="13"/>
    </row>
    <row r="2509">
      <c r="B2509" s="103" t="s">
        <v>1801</v>
      </c>
      <c r="C2509" s="103" t="s">
        <v>1829</v>
      </c>
      <c r="D2509" s="13" t="s">
        <v>813</v>
      </c>
      <c r="E2509" s="13" t="s">
        <v>426</v>
      </c>
      <c r="F2509" s="13">
        <v>41000.0</v>
      </c>
    </row>
    <row r="2510">
      <c r="C2510" s="13"/>
      <c r="D2510" s="13" t="s">
        <v>810</v>
      </c>
      <c r="E2510" s="13" t="s">
        <v>426</v>
      </c>
      <c r="F2510" s="13">
        <v>20000.0</v>
      </c>
    </row>
    <row r="2511">
      <c r="D2511" s="13"/>
      <c r="E2511" s="13"/>
      <c r="F2511" s="13"/>
    </row>
    <row r="2512">
      <c r="A2512" s="56"/>
      <c r="B2512" s="103" t="s">
        <v>1801</v>
      </c>
      <c r="C2512" s="103" t="s">
        <v>482</v>
      </c>
      <c r="D2512" s="13" t="s">
        <v>1795</v>
      </c>
      <c r="E2512" s="13">
        <v>2.0</v>
      </c>
      <c r="F2512" s="13">
        <v>12000.0</v>
      </c>
      <c r="G2512" s="13">
        <v>24000.0</v>
      </c>
    </row>
    <row r="2513">
      <c r="D2513" s="13"/>
      <c r="E2513" s="13"/>
      <c r="F2513" s="13"/>
    </row>
    <row r="2514">
      <c r="B2514" s="103" t="s">
        <v>1801</v>
      </c>
      <c r="C2514" s="103" t="s">
        <v>1830</v>
      </c>
      <c r="D2514" s="13" t="s">
        <v>1763</v>
      </c>
      <c r="E2514" s="13">
        <v>1.0</v>
      </c>
      <c r="F2514" s="13">
        <v>12000.0</v>
      </c>
    </row>
    <row r="2515">
      <c r="D2515" s="13" t="s">
        <v>885</v>
      </c>
      <c r="E2515" s="13" t="s">
        <v>426</v>
      </c>
      <c r="F2515" s="13">
        <v>18000.0</v>
      </c>
    </row>
    <row r="2516">
      <c r="D2516" s="13"/>
      <c r="E2516" s="13"/>
      <c r="F2516" s="13"/>
    </row>
    <row r="2517">
      <c r="A2517" s="56"/>
      <c r="B2517" s="103" t="s">
        <v>1801</v>
      </c>
      <c r="C2517" s="103" t="s">
        <v>1831</v>
      </c>
      <c r="D2517" s="13" t="s">
        <v>1788</v>
      </c>
      <c r="E2517" s="13" t="s">
        <v>426</v>
      </c>
      <c r="F2517" s="13">
        <v>20000.0</v>
      </c>
    </row>
    <row r="2518">
      <c r="D2518" s="13" t="s">
        <v>1832</v>
      </c>
      <c r="E2518" s="13" t="s">
        <v>426</v>
      </c>
      <c r="F2518" s="13"/>
    </row>
    <row r="2519">
      <c r="D2519" s="13"/>
      <c r="E2519" s="13"/>
      <c r="F2519" s="13"/>
    </row>
    <row r="2520">
      <c r="A2520" s="13" t="s">
        <v>1737</v>
      </c>
      <c r="B2520" s="103" t="s">
        <v>1801</v>
      </c>
      <c r="C2520" s="103" t="s">
        <v>714</v>
      </c>
      <c r="D2520" s="14" t="s">
        <v>1827</v>
      </c>
      <c r="E2520" s="13">
        <v>2.0</v>
      </c>
      <c r="F2520" s="13"/>
    </row>
    <row r="2521">
      <c r="D2521" s="13" t="s">
        <v>1833</v>
      </c>
      <c r="E2521" s="13" t="s">
        <v>727</v>
      </c>
      <c r="F2521" s="13"/>
    </row>
    <row r="2522">
      <c r="D2522" s="13" t="s">
        <v>1033</v>
      </c>
      <c r="E2522" s="13" t="s">
        <v>426</v>
      </c>
      <c r="F2522" s="13"/>
    </row>
    <row r="2523">
      <c r="D2523" s="13" t="s">
        <v>908</v>
      </c>
      <c r="E2523" s="13" t="s">
        <v>765</v>
      </c>
      <c r="F2523" s="13"/>
    </row>
    <row r="2524">
      <c r="D2524" s="13" t="s">
        <v>1834</v>
      </c>
      <c r="E2524" s="13">
        <v>1.0</v>
      </c>
      <c r="F2524" s="13"/>
    </row>
    <row r="2525">
      <c r="F2525" s="13"/>
    </row>
    <row r="2526">
      <c r="F2526" s="13"/>
    </row>
    <row r="2527">
      <c r="A2527" s="13" t="s">
        <v>521</v>
      </c>
      <c r="B2527" s="103" t="s">
        <v>1801</v>
      </c>
      <c r="C2527" s="103" t="s">
        <v>1835</v>
      </c>
      <c r="D2527" s="13" t="s">
        <v>1836</v>
      </c>
      <c r="E2527" s="13" t="s">
        <v>1837</v>
      </c>
      <c r="F2527" s="19">
        <v>21000.0</v>
      </c>
    </row>
    <row r="2528">
      <c r="D2528" s="13" t="s">
        <v>810</v>
      </c>
      <c r="E2528" s="13" t="s">
        <v>727</v>
      </c>
      <c r="F2528" s="19">
        <v>11000.0</v>
      </c>
    </row>
    <row r="2529">
      <c r="D2529" s="13" t="s">
        <v>824</v>
      </c>
      <c r="E2529" s="13" t="s">
        <v>426</v>
      </c>
      <c r="F2529" s="19">
        <v>11700.0</v>
      </c>
    </row>
    <row r="2530">
      <c r="D2530" s="13" t="s">
        <v>1739</v>
      </c>
      <c r="E2530" s="13">
        <v>1.0</v>
      </c>
      <c r="F2530" s="13">
        <v>2500.0</v>
      </c>
    </row>
    <row r="2531">
      <c r="D2531" s="13" t="s">
        <v>1838</v>
      </c>
      <c r="E2531" s="13">
        <v>1.0</v>
      </c>
      <c r="F2531" s="13">
        <v>6000.0</v>
      </c>
    </row>
    <row r="2532">
      <c r="D2532" s="13"/>
      <c r="E2532" s="13"/>
      <c r="F2532" s="13"/>
    </row>
    <row r="2533">
      <c r="D2533" s="13"/>
      <c r="E2533" s="13"/>
      <c r="F2533" s="13"/>
    </row>
    <row r="2534">
      <c r="B2534" s="103" t="s">
        <v>1801</v>
      </c>
      <c r="C2534" s="103" t="s">
        <v>1839</v>
      </c>
      <c r="D2534" s="13" t="s">
        <v>1763</v>
      </c>
      <c r="E2534" s="13">
        <v>2.0</v>
      </c>
      <c r="F2534" s="13">
        <v>12000.0</v>
      </c>
      <c r="G2534" s="13">
        <v>24000.0</v>
      </c>
    </row>
    <row r="2535">
      <c r="D2535" s="13"/>
      <c r="E2535" s="13"/>
      <c r="F2535" s="13"/>
    </row>
    <row r="2536">
      <c r="A2536" s="13" t="s">
        <v>521</v>
      </c>
      <c r="B2536" s="103" t="s">
        <v>1801</v>
      </c>
      <c r="C2536" s="103" t="s">
        <v>501</v>
      </c>
      <c r="D2536" s="13" t="s">
        <v>1840</v>
      </c>
      <c r="E2536" s="13">
        <v>1.0</v>
      </c>
      <c r="F2536" s="13">
        <v>15000.0</v>
      </c>
      <c r="G2536" s="13">
        <v>15000.0</v>
      </c>
    </row>
    <row r="2537">
      <c r="D2537" s="13"/>
      <c r="E2537" s="13"/>
      <c r="F2537" s="13"/>
    </row>
    <row r="2538">
      <c r="D2538" s="13"/>
      <c r="E2538" s="13"/>
      <c r="F2538" s="13"/>
    </row>
    <row r="2539">
      <c r="D2539" s="13"/>
      <c r="E2539" s="13"/>
      <c r="F2539" s="13"/>
    </row>
    <row r="2540">
      <c r="D2540" s="13"/>
      <c r="E2540" s="13"/>
      <c r="F2540" s="13"/>
    </row>
    <row r="2541">
      <c r="A2541" s="87">
        <v>46031.0</v>
      </c>
      <c r="D2541" s="13"/>
      <c r="E2541" s="13"/>
      <c r="F2541" s="13"/>
    </row>
    <row r="2542">
      <c r="B2542" s="103" t="s">
        <v>1841</v>
      </c>
      <c r="C2542" s="103" t="s">
        <v>1842</v>
      </c>
      <c r="D2542" s="13" t="s">
        <v>1843</v>
      </c>
      <c r="E2542" s="13" t="s">
        <v>426</v>
      </c>
      <c r="F2542" s="13"/>
    </row>
    <row r="2543">
      <c r="D2543" s="13" t="s">
        <v>1616</v>
      </c>
      <c r="E2543" s="13" t="s">
        <v>727</v>
      </c>
      <c r="F2543" s="13"/>
    </row>
    <row r="2544">
      <c r="F2544" s="13"/>
    </row>
    <row r="2545">
      <c r="D2545" s="13"/>
      <c r="E2545" s="13"/>
      <c r="F2545" s="13"/>
    </row>
    <row r="2546">
      <c r="A2546" s="13" t="s">
        <v>521</v>
      </c>
      <c r="B2546" s="103" t="s">
        <v>1801</v>
      </c>
      <c r="C2546" s="103" t="s">
        <v>1844</v>
      </c>
    </row>
    <row r="2547">
      <c r="D2547" s="13" t="s">
        <v>1845</v>
      </c>
      <c r="E2547" s="13" t="s">
        <v>426</v>
      </c>
      <c r="F2547" s="13">
        <v>8700.0</v>
      </c>
    </row>
    <row r="2548">
      <c r="D2548" s="13" t="s">
        <v>758</v>
      </c>
      <c r="E2548" s="13" t="s">
        <v>426</v>
      </c>
      <c r="F2548" s="13">
        <v>4500.0</v>
      </c>
    </row>
    <row r="2549">
      <c r="D2549" s="13" t="s">
        <v>859</v>
      </c>
      <c r="E2549" s="13">
        <v>1.0</v>
      </c>
      <c r="F2549" s="13">
        <v>2600.0</v>
      </c>
    </row>
    <row r="2550">
      <c r="D2550" s="13" t="s">
        <v>1846</v>
      </c>
      <c r="E2550" s="13">
        <v>1.0</v>
      </c>
      <c r="F2550" s="13">
        <v>4200.0</v>
      </c>
    </row>
    <row r="2551">
      <c r="D2551" s="13"/>
      <c r="E2551" s="13"/>
      <c r="F2551" s="13"/>
    </row>
    <row r="2552">
      <c r="A2552" s="13" t="s">
        <v>521</v>
      </c>
      <c r="B2552" s="103" t="s">
        <v>1841</v>
      </c>
      <c r="C2552" s="103" t="s">
        <v>638</v>
      </c>
      <c r="D2552" s="13" t="s">
        <v>780</v>
      </c>
      <c r="E2552" s="13" t="s">
        <v>426</v>
      </c>
      <c r="F2552" s="13">
        <v>12000.0</v>
      </c>
    </row>
    <row r="2553">
      <c r="D2553" s="13" t="s">
        <v>606</v>
      </c>
      <c r="E2553" s="13" t="s">
        <v>426</v>
      </c>
      <c r="F2553" s="13">
        <v>6300.0</v>
      </c>
    </row>
    <row r="2554">
      <c r="D2554" s="13" t="s">
        <v>1522</v>
      </c>
      <c r="E2554" s="13">
        <v>1.0</v>
      </c>
      <c r="F2554" s="13">
        <v>2600.0</v>
      </c>
    </row>
    <row r="2555">
      <c r="D2555" s="13" t="s">
        <v>924</v>
      </c>
      <c r="E2555" s="13" t="s">
        <v>426</v>
      </c>
      <c r="F2555" s="13">
        <v>4500.0</v>
      </c>
    </row>
    <row r="2556">
      <c r="D2556" s="13" t="s">
        <v>1847</v>
      </c>
      <c r="E2556" s="13" t="s">
        <v>814</v>
      </c>
      <c r="F2556" s="13">
        <v>9000.0</v>
      </c>
    </row>
    <row r="2557">
      <c r="D2557" s="13" t="s">
        <v>1848</v>
      </c>
      <c r="E2557" s="13" t="s">
        <v>426</v>
      </c>
      <c r="F2557" s="13">
        <v>1500.0</v>
      </c>
    </row>
    <row r="2558">
      <c r="B2558" s="103" t="s">
        <v>1801</v>
      </c>
      <c r="C2558" s="103" t="s">
        <v>1849</v>
      </c>
      <c r="D2558" s="13" t="s">
        <v>924</v>
      </c>
      <c r="E2558" s="13" t="s">
        <v>426</v>
      </c>
      <c r="F2558" s="13">
        <v>4500.0</v>
      </c>
    </row>
    <row r="2559">
      <c r="D2559" s="13" t="s">
        <v>780</v>
      </c>
      <c r="E2559" s="13" t="s">
        <v>429</v>
      </c>
      <c r="F2559" s="13">
        <v>12000.0</v>
      </c>
      <c r="G2559" s="98" t="s">
        <v>1850</v>
      </c>
      <c r="H2559" s="105"/>
    </row>
    <row r="2560">
      <c r="D2560" s="13"/>
      <c r="E2560" s="13"/>
      <c r="F2560" s="13"/>
    </row>
    <row r="2561">
      <c r="A2561" s="13" t="s">
        <v>521</v>
      </c>
      <c r="B2561" s="103" t="s">
        <v>1801</v>
      </c>
      <c r="C2561" s="103" t="s">
        <v>1210</v>
      </c>
      <c r="D2561" s="13" t="s">
        <v>640</v>
      </c>
      <c r="E2561" s="13" t="s">
        <v>426</v>
      </c>
      <c r="F2561" s="13">
        <v>6300.0</v>
      </c>
    </row>
    <row r="2562">
      <c r="D2562" s="13" t="s">
        <v>911</v>
      </c>
      <c r="E2562" s="13" t="s">
        <v>426</v>
      </c>
      <c r="F2562" s="13">
        <v>12000.0</v>
      </c>
    </row>
    <row r="2563">
      <c r="D2563" s="13" t="s">
        <v>716</v>
      </c>
      <c r="E2563" s="13" t="s">
        <v>727</v>
      </c>
      <c r="F2563" s="13"/>
    </row>
    <row r="2564">
      <c r="B2564" s="14"/>
      <c r="C2564" s="14"/>
      <c r="D2564" s="13"/>
      <c r="E2564" s="13"/>
      <c r="F2564" s="13"/>
    </row>
    <row r="2565">
      <c r="B2565" s="103" t="s">
        <v>1851</v>
      </c>
      <c r="C2565" s="103" t="s">
        <v>1830</v>
      </c>
      <c r="D2565" s="13" t="s">
        <v>1852</v>
      </c>
      <c r="E2565" s="13">
        <v>1.0</v>
      </c>
      <c r="F2565" s="13">
        <v>3500.0</v>
      </c>
    </row>
    <row r="2566">
      <c r="D2566" s="13" t="s">
        <v>1853</v>
      </c>
      <c r="E2566" s="13">
        <v>1.0</v>
      </c>
      <c r="F2566" s="13">
        <v>3500.0</v>
      </c>
    </row>
    <row r="2567">
      <c r="D2567" s="13"/>
      <c r="E2567" s="13"/>
      <c r="F2567" s="13"/>
    </row>
    <row r="2568">
      <c r="D2568" s="13"/>
      <c r="E2568" s="13"/>
      <c r="F2568" s="13"/>
    </row>
    <row r="2569">
      <c r="B2569" s="13" t="s">
        <v>1008</v>
      </c>
      <c r="C2569" s="13" t="s">
        <v>1854</v>
      </c>
      <c r="D2569" s="13" t="s">
        <v>1715</v>
      </c>
      <c r="E2569" s="13" t="s">
        <v>426</v>
      </c>
      <c r="F2569" s="13">
        <v>8400.0</v>
      </c>
    </row>
    <row r="2570">
      <c r="D2570" s="13" t="s">
        <v>908</v>
      </c>
      <c r="E2570" s="13" t="s">
        <v>426</v>
      </c>
      <c r="F2570" s="13">
        <v>7500.0</v>
      </c>
    </row>
    <row r="2571">
      <c r="D2571" s="13" t="s">
        <v>1855</v>
      </c>
      <c r="E2571" s="13">
        <v>3.0</v>
      </c>
      <c r="F2571" s="13">
        <f>1400*3</f>
        <v>4200</v>
      </c>
    </row>
    <row r="2572">
      <c r="D2572" s="13"/>
      <c r="E2572" s="13"/>
      <c r="F2572" s="13"/>
    </row>
    <row r="2573">
      <c r="C2573" s="13" t="s">
        <v>560</v>
      </c>
      <c r="D2573" s="13" t="s">
        <v>1357</v>
      </c>
      <c r="E2573" s="13" t="s">
        <v>426</v>
      </c>
      <c r="F2573" s="13"/>
    </row>
    <row r="2574">
      <c r="D2574" s="13" t="s">
        <v>1101</v>
      </c>
      <c r="E2574" s="13" t="s">
        <v>426</v>
      </c>
      <c r="F2574" s="13"/>
    </row>
    <row r="2575">
      <c r="D2575" s="13" t="s">
        <v>1607</v>
      </c>
      <c r="E2575" s="13" t="s">
        <v>426</v>
      </c>
      <c r="F2575" s="13"/>
    </row>
    <row r="2576">
      <c r="D2576" s="13"/>
      <c r="E2576" s="13"/>
      <c r="F2576" s="13"/>
    </row>
    <row r="2577">
      <c r="A2577" s="13" t="s">
        <v>743</v>
      </c>
      <c r="C2577" s="13" t="s">
        <v>542</v>
      </c>
      <c r="D2577" s="13" t="s">
        <v>1474</v>
      </c>
      <c r="E2577" s="13" t="s">
        <v>727</v>
      </c>
      <c r="F2577" s="13">
        <v>9500.0</v>
      </c>
    </row>
    <row r="2578">
      <c r="D2578" s="13" t="s">
        <v>1856</v>
      </c>
      <c r="E2578" s="13">
        <v>1.0</v>
      </c>
      <c r="F2578" s="13">
        <v>4800.0</v>
      </c>
    </row>
    <row r="2579">
      <c r="D2579" s="13" t="s">
        <v>822</v>
      </c>
      <c r="E2579" s="13" t="s">
        <v>426</v>
      </c>
      <c r="F2579" s="13">
        <v>15400.0</v>
      </c>
    </row>
    <row r="2580">
      <c r="D2580" s="13" t="s">
        <v>1101</v>
      </c>
      <c r="E2580" s="13" t="s">
        <v>426</v>
      </c>
      <c r="F2580" s="13">
        <v>16000.0</v>
      </c>
    </row>
    <row r="2581">
      <c r="D2581" s="13" t="s">
        <v>551</v>
      </c>
      <c r="E2581" s="13" t="s">
        <v>426</v>
      </c>
      <c r="F2581" s="13">
        <v>19200.0</v>
      </c>
    </row>
    <row r="2582">
      <c r="D2582" s="13" t="s">
        <v>1857</v>
      </c>
      <c r="E2582" s="13">
        <v>1.0</v>
      </c>
      <c r="F2582" s="13">
        <v>3470.0</v>
      </c>
    </row>
    <row r="2583">
      <c r="D2583" s="13" t="s">
        <v>1858</v>
      </c>
      <c r="E2583" s="13">
        <v>1.0</v>
      </c>
      <c r="F2583" s="13">
        <v>4800.0</v>
      </c>
    </row>
    <row r="2584">
      <c r="D2584" s="13" t="s">
        <v>931</v>
      </c>
      <c r="E2584" s="13">
        <v>500.0</v>
      </c>
      <c r="F2584" s="13">
        <v>8250.0</v>
      </c>
    </row>
    <row r="2585">
      <c r="D2585" s="13"/>
      <c r="E2585" s="13"/>
      <c r="F2585" s="13"/>
    </row>
    <row r="2586">
      <c r="A2586" s="13" t="s">
        <v>1737</v>
      </c>
      <c r="B2586" s="103" t="s">
        <v>1801</v>
      </c>
      <c r="C2586" s="103" t="s">
        <v>714</v>
      </c>
      <c r="D2586" s="103" t="s">
        <v>1859</v>
      </c>
      <c r="E2586" s="103">
        <v>2.0</v>
      </c>
      <c r="F2586" s="13"/>
    </row>
    <row r="2587">
      <c r="C2587" s="106"/>
      <c r="D2587" s="103" t="s">
        <v>1474</v>
      </c>
      <c r="E2587" s="103" t="s">
        <v>727</v>
      </c>
      <c r="F2587" s="13"/>
    </row>
    <row r="2588">
      <c r="C2588" s="106"/>
      <c r="D2588" s="103" t="s">
        <v>606</v>
      </c>
      <c r="E2588" s="103" t="s">
        <v>426</v>
      </c>
      <c r="F2588" s="13"/>
    </row>
    <row r="2589">
      <c r="C2589" s="103"/>
      <c r="D2589" s="103" t="s">
        <v>1394</v>
      </c>
      <c r="E2589" s="103">
        <v>2.0</v>
      </c>
      <c r="F2589" s="13"/>
    </row>
    <row r="2590">
      <c r="C2590" s="103"/>
      <c r="D2590" s="103" t="s">
        <v>1860</v>
      </c>
      <c r="E2590" s="103">
        <v>1.0</v>
      </c>
      <c r="F2590" s="13"/>
    </row>
    <row r="2591">
      <c r="C2591" s="103"/>
      <c r="D2591" s="103" t="s">
        <v>1861</v>
      </c>
      <c r="E2591" s="103">
        <v>1.0</v>
      </c>
      <c r="F2591" s="13"/>
    </row>
    <row r="2592">
      <c r="C2592" s="13"/>
      <c r="D2592" s="13"/>
      <c r="E2592" s="13"/>
      <c r="F2592" s="13"/>
    </row>
    <row r="2593">
      <c r="C2593" s="13" t="s">
        <v>1862</v>
      </c>
      <c r="D2593" s="13" t="s">
        <v>1863</v>
      </c>
      <c r="E2593" s="13" t="s">
        <v>1864</v>
      </c>
      <c r="F2593" s="13">
        <v>4500.0</v>
      </c>
      <c r="G2593" s="32">
        <f>F2593*13</f>
        <v>58500</v>
      </c>
    </row>
    <row r="2594">
      <c r="D2594" s="13" t="s">
        <v>1865</v>
      </c>
      <c r="E2594" s="13">
        <v>2.0</v>
      </c>
      <c r="F2594" s="13">
        <v>1700.0</v>
      </c>
      <c r="G2594" s="32">
        <f>F2594*2</f>
        <v>3400</v>
      </c>
    </row>
    <row r="2595">
      <c r="D2595" s="13" t="s">
        <v>1866</v>
      </c>
      <c r="E2595" s="13" t="s">
        <v>426</v>
      </c>
      <c r="F2595" s="13">
        <v>19500.0</v>
      </c>
      <c r="G2595" s="13">
        <v>19500.0</v>
      </c>
    </row>
    <row r="2596">
      <c r="D2596" s="13"/>
      <c r="E2596" s="13"/>
      <c r="F2596" s="13"/>
    </row>
    <row r="2597">
      <c r="B2597" s="13" t="s">
        <v>1867</v>
      </c>
      <c r="C2597" s="13" t="s">
        <v>1868</v>
      </c>
      <c r="D2597" s="13" t="s">
        <v>1869</v>
      </c>
      <c r="E2597" s="13">
        <v>6.0</v>
      </c>
      <c r="F2597" s="13">
        <v>7800.0</v>
      </c>
    </row>
    <row r="2598">
      <c r="D2598" s="13" t="s">
        <v>1870</v>
      </c>
      <c r="E2598" s="13">
        <v>1.0</v>
      </c>
      <c r="F2598" s="13">
        <v>3000.0</v>
      </c>
    </row>
    <row r="2599">
      <c r="D2599" s="13" t="s">
        <v>1871</v>
      </c>
      <c r="E2599" s="13">
        <v>1.0</v>
      </c>
      <c r="F2599" s="13">
        <v>1700.0</v>
      </c>
    </row>
    <row r="2600">
      <c r="D2600" s="13" t="s">
        <v>558</v>
      </c>
      <c r="E2600" s="13" t="s">
        <v>426</v>
      </c>
      <c r="F2600" s="13">
        <v>4500.0</v>
      </c>
    </row>
    <row r="2601">
      <c r="D2601" s="13" t="s">
        <v>675</v>
      </c>
      <c r="E2601" s="13" t="s">
        <v>426</v>
      </c>
      <c r="F2601" s="13">
        <v>2500.0</v>
      </c>
    </row>
    <row r="2602">
      <c r="C2602" s="13"/>
      <c r="D2602" s="13" t="s">
        <v>908</v>
      </c>
      <c r="E2602" s="13" t="s">
        <v>727</v>
      </c>
      <c r="F2602" s="13">
        <v>3800.0</v>
      </c>
    </row>
    <row r="2603">
      <c r="D2603" s="13"/>
      <c r="E2603" s="13"/>
      <c r="F2603" s="13"/>
    </row>
    <row r="2604">
      <c r="C2604" s="13" t="s">
        <v>1872</v>
      </c>
      <c r="D2604" s="13" t="s">
        <v>1873</v>
      </c>
      <c r="E2604" s="13"/>
      <c r="F2604" s="13"/>
    </row>
    <row r="2605">
      <c r="D2605" s="13"/>
      <c r="E2605" s="13"/>
      <c r="F2605" s="13"/>
    </row>
    <row r="2606">
      <c r="C2606" s="13" t="s">
        <v>599</v>
      </c>
      <c r="D2606" s="13" t="s">
        <v>1251</v>
      </c>
      <c r="E2606" s="13" t="s">
        <v>727</v>
      </c>
      <c r="F2606" s="13"/>
    </row>
    <row r="2607">
      <c r="D2607" s="13" t="s">
        <v>444</v>
      </c>
      <c r="E2607" s="13" t="s">
        <v>727</v>
      </c>
      <c r="F2607" s="13"/>
    </row>
    <row r="2608">
      <c r="A2608" s="87"/>
      <c r="D2608" s="13"/>
      <c r="E2608" s="13"/>
      <c r="F2608" s="13"/>
    </row>
    <row r="2609">
      <c r="A2609" s="87">
        <v>46040.0</v>
      </c>
      <c r="D2609" s="13"/>
      <c r="E2609" s="13"/>
      <c r="F2609" s="13"/>
    </row>
    <row r="2610">
      <c r="A2610" s="84"/>
      <c r="B2610" s="103" t="s">
        <v>1874</v>
      </c>
      <c r="C2610" s="103" t="s">
        <v>1578</v>
      </c>
      <c r="D2610" s="13" t="s">
        <v>865</v>
      </c>
      <c r="E2610" s="13" t="s">
        <v>426</v>
      </c>
      <c r="F2610" s="13"/>
    </row>
    <row r="2611">
      <c r="D2611" s="13" t="s">
        <v>944</v>
      </c>
      <c r="E2611" s="13" t="s">
        <v>429</v>
      </c>
      <c r="F2611" s="13"/>
    </row>
    <row r="2612">
      <c r="D2612" s="13"/>
      <c r="E2612" s="13"/>
      <c r="F2612" s="13"/>
    </row>
    <row r="2613">
      <c r="D2613" s="13"/>
      <c r="E2613" s="13"/>
      <c r="F2613" s="13"/>
    </row>
    <row r="2614">
      <c r="B2614" s="103" t="s">
        <v>1874</v>
      </c>
      <c r="C2614" s="103" t="s">
        <v>1875</v>
      </c>
      <c r="D2614" s="13" t="s">
        <v>1832</v>
      </c>
      <c r="E2614" s="13" t="s">
        <v>426</v>
      </c>
      <c r="F2614" s="13">
        <v>11700.0</v>
      </c>
    </row>
    <row r="2615">
      <c r="D2615" s="13" t="s">
        <v>549</v>
      </c>
      <c r="E2615" s="13" t="s">
        <v>426</v>
      </c>
      <c r="F2615" s="13">
        <v>18500.0</v>
      </c>
    </row>
    <row r="2616">
      <c r="D2616" s="13"/>
      <c r="E2616" s="13"/>
      <c r="F2616" s="13"/>
    </row>
    <row r="2617">
      <c r="B2617" s="103" t="s">
        <v>1874</v>
      </c>
      <c r="C2617" s="103" t="s">
        <v>1876</v>
      </c>
      <c r="D2617" s="13" t="s">
        <v>885</v>
      </c>
      <c r="E2617" s="13" t="s">
        <v>426</v>
      </c>
      <c r="F2617" s="19">
        <v>18500.0</v>
      </c>
    </row>
    <row r="2618">
      <c r="D2618" s="13" t="s">
        <v>1866</v>
      </c>
      <c r="E2618" s="13" t="s">
        <v>426</v>
      </c>
      <c r="F2618" s="13">
        <v>19500.0</v>
      </c>
    </row>
    <row r="2619">
      <c r="D2619" s="13" t="s">
        <v>577</v>
      </c>
      <c r="E2619" s="13" t="s">
        <v>426</v>
      </c>
      <c r="F2619" s="13">
        <v>23000.0</v>
      </c>
    </row>
    <row r="2620">
      <c r="D2620" s="13" t="s">
        <v>867</v>
      </c>
      <c r="E2620" s="13" t="s">
        <v>426</v>
      </c>
      <c r="F2620" s="13">
        <v>3000.0</v>
      </c>
    </row>
    <row r="2621">
      <c r="D2621" s="13" t="s">
        <v>716</v>
      </c>
      <c r="E2621" s="13" t="s">
        <v>426</v>
      </c>
      <c r="F2621" s="13">
        <v>9300.0</v>
      </c>
    </row>
    <row r="2622">
      <c r="F2622" s="13"/>
    </row>
    <row r="2624">
      <c r="B2624" s="103" t="s">
        <v>1874</v>
      </c>
      <c r="C2624" s="103" t="s">
        <v>1877</v>
      </c>
      <c r="D2624" s="13" t="s">
        <v>1878</v>
      </c>
      <c r="E2624" s="13">
        <v>1.0</v>
      </c>
      <c r="F2624" s="13"/>
    </row>
    <row r="2625">
      <c r="D2625" s="13" t="s">
        <v>597</v>
      </c>
      <c r="E2625" s="13" t="s">
        <v>727</v>
      </c>
      <c r="F2625" s="13">
        <v>4500.0</v>
      </c>
    </row>
    <row r="2626">
      <c r="D2626" s="13" t="s">
        <v>1879</v>
      </c>
      <c r="E2626" s="13" t="s">
        <v>426</v>
      </c>
      <c r="F2626" s="13">
        <v>8100.0</v>
      </c>
    </row>
    <row r="2627">
      <c r="D2627" s="13" t="s">
        <v>549</v>
      </c>
      <c r="E2627" s="13" t="s">
        <v>426</v>
      </c>
      <c r="F2627" s="13">
        <v>18500.0</v>
      </c>
    </row>
    <row r="2628">
      <c r="F2628" s="13"/>
    </row>
    <row r="2629">
      <c r="F2629" s="13"/>
    </row>
    <row r="2630">
      <c r="F2630" s="13"/>
    </row>
    <row r="2631">
      <c r="B2631" s="13" t="s">
        <v>1008</v>
      </c>
      <c r="C2631" s="13" t="s">
        <v>1880</v>
      </c>
      <c r="D2631" s="13" t="s">
        <v>1035</v>
      </c>
      <c r="E2631" s="13" t="s">
        <v>426</v>
      </c>
      <c r="F2631" s="13">
        <v>7000.0</v>
      </c>
    </row>
    <row r="2632">
      <c r="D2632" s="13"/>
      <c r="E2632" s="13"/>
      <c r="F2632" s="13"/>
    </row>
    <row r="2633">
      <c r="C2633" s="13" t="s">
        <v>1881</v>
      </c>
      <c r="D2633" s="13" t="s">
        <v>598</v>
      </c>
      <c r="E2633" s="13" t="s">
        <v>426</v>
      </c>
      <c r="F2633" s="13">
        <v>23000.0</v>
      </c>
    </row>
    <row r="2634">
      <c r="D2634" s="13"/>
      <c r="E2634" s="13"/>
      <c r="F2634" s="13"/>
    </row>
    <row r="2635">
      <c r="C2635" s="13" t="s">
        <v>825</v>
      </c>
      <c r="D2635" s="13" t="s">
        <v>1882</v>
      </c>
      <c r="E2635" s="13" t="s">
        <v>429</v>
      </c>
      <c r="F2635" s="13">
        <v>4500.0</v>
      </c>
      <c r="G2635" s="13">
        <v>9000.0</v>
      </c>
    </row>
    <row r="2636">
      <c r="D2636" s="13" t="s">
        <v>1275</v>
      </c>
      <c r="E2636" s="13" t="s">
        <v>426</v>
      </c>
      <c r="F2636" s="13">
        <v>17500.0</v>
      </c>
      <c r="G2636" s="13">
        <v>17500.0</v>
      </c>
    </row>
    <row r="2637">
      <c r="D2637" s="13"/>
      <c r="E2637" s="13"/>
      <c r="F2637" s="13"/>
    </row>
    <row r="2638">
      <c r="C2638" s="13" t="s">
        <v>1883</v>
      </c>
      <c r="D2638" s="13" t="s">
        <v>590</v>
      </c>
      <c r="E2638" s="13" t="s">
        <v>426</v>
      </c>
      <c r="F2638" s="13">
        <v>3000.0</v>
      </c>
    </row>
    <row r="2639">
      <c r="D2639" s="13" t="s">
        <v>732</v>
      </c>
      <c r="E2639" s="13" t="s">
        <v>426</v>
      </c>
      <c r="F2639" s="13">
        <v>12000.0</v>
      </c>
    </row>
    <row r="2640">
      <c r="D2640" s="13" t="s">
        <v>605</v>
      </c>
      <c r="E2640" s="13" t="s">
        <v>426</v>
      </c>
      <c r="F2640" s="13">
        <v>8100.0</v>
      </c>
    </row>
    <row r="2641">
      <c r="D2641" s="13" t="s">
        <v>810</v>
      </c>
      <c r="E2641" s="13" t="s">
        <v>426</v>
      </c>
      <c r="F2641" s="13">
        <v>20000.0</v>
      </c>
    </row>
    <row r="2644">
      <c r="G2644" s="13"/>
    </row>
    <row r="2647">
      <c r="D2647" s="13"/>
      <c r="E2647" s="13"/>
      <c r="F2647" s="13"/>
    </row>
    <row r="2648">
      <c r="A2648" s="78">
        <v>46047.0</v>
      </c>
      <c r="B2648" s="103" t="s">
        <v>1874</v>
      </c>
      <c r="C2648" s="103" t="s">
        <v>1884</v>
      </c>
      <c r="D2648" s="13" t="s">
        <v>635</v>
      </c>
      <c r="E2648" s="13" t="s">
        <v>426</v>
      </c>
      <c r="F2648" s="13">
        <v>7500.0</v>
      </c>
      <c r="G2648" s="13">
        <v>7500.0</v>
      </c>
    </row>
    <row r="2649">
      <c r="B2649" s="106"/>
      <c r="C2649" s="106"/>
      <c r="D2649" s="13" t="s">
        <v>630</v>
      </c>
      <c r="E2649" s="13" t="s">
        <v>426</v>
      </c>
      <c r="F2649" s="13">
        <v>7500.0</v>
      </c>
      <c r="G2649" s="13">
        <v>7500.0</v>
      </c>
    </row>
    <row r="2650">
      <c r="B2650" s="106"/>
      <c r="C2650" s="106"/>
      <c r="D2650" s="13" t="s">
        <v>1766</v>
      </c>
      <c r="E2650" s="13">
        <v>2.0</v>
      </c>
      <c r="F2650" s="13">
        <v>11000.0</v>
      </c>
      <c r="G2650" s="13">
        <v>22000.0</v>
      </c>
      <c r="H2650" s="13">
        <v>11000.0</v>
      </c>
      <c r="I2650" s="13">
        <v>22000.0</v>
      </c>
    </row>
    <row r="2651">
      <c r="B2651" s="106"/>
      <c r="C2651" s="106"/>
      <c r="F2651" s="13"/>
    </row>
    <row r="2652">
      <c r="B2652" s="106"/>
      <c r="C2652" s="106"/>
      <c r="F2652" s="13"/>
    </row>
    <row r="2653">
      <c r="A2653" s="13" t="s">
        <v>808</v>
      </c>
      <c r="B2653" s="103" t="s">
        <v>1874</v>
      </c>
      <c r="C2653" s="103" t="s">
        <v>1885</v>
      </c>
      <c r="D2653" s="13" t="s">
        <v>1886</v>
      </c>
      <c r="E2653" s="13">
        <v>1.0</v>
      </c>
      <c r="F2653" s="13">
        <v>4000.0</v>
      </c>
      <c r="G2653" s="13">
        <v>4000.0</v>
      </c>
    </row>
    <row r="2654">
      <c r="B2654" s="106"/>
      <c r="C2654" s="106"/>
      <c r="D2654" s="13" t="s">
        <v>1887</v>
      </c>
      <c r="E2654" s="13">
        <v>1.0</v>
      </c>
      <c r="F2654" s="13">
        <v>4000.0</v>
      </c>
      <c r="G2654" s="13">
        <v>4000.0</v>
      </c>
    </row>
    <row r="2655">
      <c r="B2655" s="106"/>
      <c r="C2655" s="106"/>
      <c r="D2655" s="13"/>
      <c r="E2655" s="13"/>
      <c r="F2655" s="13"/>
    </row>
    <row r="2656">
      <c r="B2656" s="103" t="s">
        <v>1874</v>
      </c>
      <c r="C2656" s="103" t="s">
        <v>1888</v>
      </c>
      <c r="D2656" s="13" t="s">
        <v>1889</v>
      </c>
      <c r="E2656" s="13" t="s">
        <v>426</v>
      </c>
      <c r="F2656" s="13">
        <v>20000.0</v>
      </c>
      <c r="G2656" s="13">
        <v>20000.0</v>
      </c>
    </row>
    <row r="2657">
      <c r="B2657" s="106"/>
      <c r="C2657" s="106"/>
      <c r="D2657" s="13"/>
      <c r="E2657" s="13"/>
      <c r="F2657" s="13"/>
    </row>
    <row r="2658">
      <c r="B2658" s="103" t="s">
        <v>1874</v>
      </c>
      <c r="C2658" s="103" t="s">
        <v>1890</v>
      </c>
      <c r="D2658" s="13" t="s">
        <v>1891</v>
      </c>
      <c r="E2658" s="13" t="s">
        <v>426</v>
      </c>
      <c r="F2658" s="13">
        <v>7500.0</v>
      </c>
      <c r="G2658" s="13">
        <v>7500.0</v>
      </c>
    </row>
    <row r="2659">
      <c r="B2659" s="106"/>
      <c r="C2659" s="106"/>
      <c r="D2659" s="13" t="s">
        <v>1892</v>
      </c>
      <c r="E2659" s="13" t="s">
        <v>426</v>
      </c>
      <c r="F2659" s="13">
        <v>20000.0</v>
      </c>
      <c r="G2659" s="13">
        <v>20000.0</v>
      </c>
    </row>
    <row r="2660">
      <c r="B2660" s="106"/>
      <c r="C2660" s="106"/>
      <c r="D2660" s="13"/>
      <c r="E2660" s="13"/>
      <c r="F2660" s="13"/>
    </row>
    <row r="2661">
      <c r="B2661" s="106"/>
      <c r="C2661" s="106"/>
      <c r="D2661" s="13"/>
      <c r="E2661" s="13"/>
      <c r="F2661" s="13"/>
    </row>
    <row r="2662">
      <c r="A2662" s="13" t="s">
        <v>1737</v>
      </c>
      <c r="B2662" s="103" t="s">
        <v>1874</v>
      </c>
      <c r="C2662" s="103" t="s">
        <v>714</v>
      </c>
      <c r="D2662" s="13" t="s">
        <v>1893</v>
      </c>
      <c r="E2662" s="13">
        <v>1.0</v>
      </c>
      <c r="F2662" s="13"/>
      <c r="G2662" s="13"/>
    </row>
    <row r="2663">
      <c r="B2663" s="106"/>
      <c r="C2663" s="106"/>
      <c r="D2663" s="13"/>
      <c r="E2663" s="13"/>
      <c r="F2663" s="13"/>
    </row>
    <row r="2664">
      <c r="B2664" s="106"/>
      <c r="C2664" s="106"/>
      <c r="D2664" s="13"/>
      <c r="E2664" s="13"/>
      <c r="F2664" s="13"/>
    </row>
    <row r="2665">
      <c r="B2665" s="103" t="s">
        <v>1874</v>
      </c>
      <c r="C2665" s="103" t="s">
        <v>1894</v>
      </c>
      <c r="D2665" s="13" t="s">
        <v>606</v>
      </c>
      <c r="E2665" s="13" t="s">
        <v>426</v>
      </c>
      <c r="F2665" s="13">
        <v>6300.0</v>
      </c>
      <c r="G2665" s="13">
        <v>6300.0</v>
      </c>
    </row>
    <row r="2666">
      <c r="B2666" s="106"/>
      <c r="C2666" s="106"/>
      <c r="D2666" s="13" t="s">
        <v>1419</v>
      </c>
      <c r="E2666" s="13" t="s">
        <v>426</v>
      </c>
      <c r="F2666" s="13">
        <v>3200.0</v>
      </c>
      <c r="G2666" s="13">
        <v>3200.0</v>
      </c>
    </row>
    <row r="2667">
      <c r="B2667" s="106"/>
      <c r="C2667" s="106"/>
      <c r="D2667" s="13" t="s">
        <v>558</v>
      </c>
      <c r="E2667" s="13" t="s">
        <v>426</v>
      </c>
      <c r="F2667" s="13">
        <v>4500.0</v>
      </c>
      <c r="G2667" s="13">
        <v>4500.0</v>
      </c>
    </row>
    <row r="2668">
      <c r="B2668" s="106"/>
      <c r="C2668" s="106"/>
      <c r="D2668" s="13"/>
      <c r="E2668" s="13"/>
      <c r="F2668" s="13"/>
    </row>
    <row r="2669">
      <c r="B2669" s="103" t="s">
        <v>1874</v>
      </c>
      <c r="C2669" s="103" t="s">
        <v>1895</v>
      </c>
      <c r="D2669" s="13" t="s">
        <v>732</v>
      </c>
      <c r="E2669" s="13" t="s">
        <v>426</v>
      </c>
      <c r="F2669" s="13"/>
      <c r="G2669" s="13">
        <v>12000.0</v>
      </c>
    </row>
    <row r="2670">
      <c r="D2670" s="13" t="s">
        <v>1896</v>
      </c>
      <c r="E2670" s="13">
        <v>1.0</v>
      </c>
      <c r="F2670" s="13"/>
      <c r="G2670" s="13">
        <v>12000.0</v>
      </c>
    </row>
    <row r="2671">
      <c r="D2671" s="13" t="s">
        <v>540</v>
      </c>
      <c r="E2671" s="13" t="s">
        <v>426</v>
      </c>
      <c r="F2671" s="13"/>
      <c r="G2671" s="13">
        <v>3000.0</v>
      </c>
    </row>
    <row r="2672">
      <c r="D2672" s="13" t="s">
        <v>1897</v>
      </c>
      <c r="E2672" s="13" t="s">
        <v>426</v>
      </c>
      <c r="F2672" s="13"/>
      <c r="G2672" s="13">
        <v>12400.0</v>
      </c>
    </row>
    <row r="2674">
      <c r="D2674" s="13"/>
      <c r="E2674" s="13"/>
      <c r="F2674" s="13"/>
    </row>
    <row r="2675">
      <c r="D2675" s="13"/>
      <c r="E2675" s="13"/>
      <c r="F2675" s="13"/>
    </row>
    <row r="2676">
      <c r="A2676" s="13" t="s">
        <v>521</v>
      </c>
      <c r="B2676" s="13" t="s">
        <v>1898</v>
      </c>
      <c r="C2676" s="13" t="s">
        <v>741</v>
      </c>
      <c r="D2676" s="13" t="s">
        <v>551</v>
      </c>
      <c r="E2676" s="13" t="s">
        <v>426</v>
      </c>
      <c r="F2676" s="13">
        <v>23000.0</v>
      </c>
      <c r="G2676" s="13">
        <v>23000.0</v>
      </c>
    </row>
    <row r="2677">
      <c r="D2677" s="13" t="s">
        <v>807</v>
      </c>
      <c r="E2677" s="13" t="s">
        <v>426</v>
      </c>
      <c r="F2677" s="13">
        <v>23000.0</v>
      </c>
      <c r="G2677" s="13">
        <v>23000.0</v>
      </c>
    </row>
    <row r="2678">
      <c r="D2678" s="13" t="s">
        <v>1899</v>
      </c>
      <c r="E2678" s="13" t="s">
        <v>1039</v>
      </c>
      <c r="F2678" s="13">
        <v>11000.0</v>
      </c>
      <c r="G2678" s="13">
        <v>11000.0</v>
      </c>
    </row>
    <row r="2679">
      <c r="D2679" s="13" t="s">
        <v>558</v>
      </c>
      <c r="E2679" s="13" t="s">
        <v>429</v>
      </c>
      <c r="F2679" s="13">
        <v>4500.0</v>
      </c>
      <c r="G2679" s="13">
        <v>9000.0</v>
      </c>
    </row>
    <row r="2680">
      <c r="D2680" s="13" t="s">
        <v>882</v>
      </c>
      <c r="E2680" s="13"/>
      <c r="F2680" s="13">
        <v>2100.0</v>
      </c>
      <c r="G2680" s="13">
        <v>2100.0</v>
      </c>
    </row>
    <row r="2681">
      <c r="D2681" s="13"/>
      <c r="E2681" s="13"/>
      <c r="F2681" s="13"/>
    </row>
    <row r="2682">
      <c r="A2682" s="13" t="s">
        <v>521</v>
      </c>
      <c r="B2682" s="13" t="s">
        <v>1898</v>
      </c>
      <c r="C2682" s="13" t="s">
        <v>1409</v>
      </c>
      <c r="D2682" s="13" t="s">
        <v>732</v>
      </c>
      <c r="E2682" s="13" t="s">
        <v>1024</v>
      </c>
      <c r="F2682" s="13">
        <v>6000.0</v>
      </c>
    </row>
    <row r="2683">
      <c r="D2683" s="13" t="s">
        <v>606</v>
      </c>
      <c r="E2683" s="13" t="s">
        <v>727</v>
      </c>
      <c r="F2683" s="13">
        <v>3100.0</v>
      </c>
    </row>
    <row r="2684">
      <c r="D2684" s="13" t="s">
        <v>1035</v>
      </c>
      <c r="E2684" s="13" t="s">
        <v>426</v>
      </c>
      <c r="F2684" s="13">
        <v>7200.0</v>
      </c>
    </row>
    <row r="2685">
      <c r="D2685" s="13" t="s">
        <v>1419</v>
      </c>
      <c r="E2685" s="13" t="s">
        <v>426</v>
      </c>
      <c r="F2685" s="13">
        <v>3200.0</v>
      </c>
    </row>
    <row r="2686">
      <c r="D2686" s="13"/>
      <c r="E2686" s="13"/>
      <c r="F2686" s="13"/>
    </row>
    <row r="2687">
      <c r="D2687" s="13"/>
      <c r="E2687" s="13"/>
      <c r="F2687" s="13"/>
    </row>
    <row r="2688">
      <c r="C2688" s="13" t="s">
        <v>542</v>
      </c>
      <c r="D2688" s="13" t="s">
        <v>1900</v>
      </c>
      <c r="E2688" s="13">
        <v>1.0</v>
      </c>
      <c r="F2688" s="13"/>
    </row>
    <row r="2689">
      <c r="D2689" s="13"/>
      <c r="E2689" s="13"/>
      <c r="F2689" s="13"/>
    </row>
    <row r="2690">
      <c r="B2690" s="13"/>
      <c r="D2690" s="13"/>
      <c r="E2690" s="13"/>
      <c r="F2690" s="13"/>
    </row>
    <row r="2691">
      <c r="A2691" s="13" t="s">
        <v>521</v>
      </c>
      <c r="B2691" s="13" t="s">
        <v>1901</v>
      </c>
      <c r="C2691" s="13" t="s">
        <v>1902</v>
      </c>
      <c r="D2691" s="13" t="s">
        <v>933</v>
      </c>
      <c r="E2691" s="13" t="s">
        <v>426</v>
      </c>
      <c r="F2691" s="13">
        <v>8700.0</v>
      </c>
    </row>
    <row r="2692">
      <c r="D2692" s="13" t="s">
        <v>1320</v>
      </c>
      <c r="E2692" s="13" t="s">
        <v>426</v>
      </c>
      <c r="F2692" s="13">
        <v>3300.0</v>
      </c>
    </row>
    <row r="2693">
      <c r="D2693" s="13"/>
      <c r="E2693" s="13"/>
      <c r="F2693" s="13"/>
    </row>
    <row r="2694">
      <c r="D2694" s="13"/>
      <c r="E2694" s="13"/>
      <c r="F2694" s="13"/>
    </row>
    <row r="2695">
      <c r="A2695" s="13" t="s">
        <v>521</v>
      </c>
      <c r="C2695" s="13" t="s">
        <v>1903</v>
      </c>
      <c r="D2695" s="13" t="s">
        <v>577</v>
      </c>
      <c r="E2695" s="13">
        <v>23000.0</v>
      </c>
      <c r="F2695" s="13"/>
    </row>
    <row r="2696">
      <c r="D2696" s="13" t="s">
        <v>1323</v>
      </c>
      <c r="E2696" s="13">
        <v>10000.0</v>
      </c>
      <c r="F2696" s="13"/>
    </row>
    <row r="2697">
      <c r="D2697" s="13"/>
      <c r="E2697" s="13"/>
      <c r="F2697" s="13"/>
    </row>
    <row r="2698">
      <c r="D2698" s="13"/>
      <c r="E2698" s="13"/>
      <c r="F2698" s="13"/>
    </row>
    <row r="2699">
      <c r="D2699" s="13"/>
      <c r="E2699" s="13"/>
      <c r="F2699" s="13"/>
    </row>
    <row r="2700">
      <c r="A2700" s="78">
        <v>46060.0</v>
      </c>
      <c r="B2700" s="13"/>
      <c r="D2700" s="13"/>
      <c r="E2700" s="13"/>
      <c r="F2700" s="13"/>
    </row>
    <row r="2701">
      <c r="D2701" s="13"/>
      <c r="E2701" s="13"/>
      <c r="F2701" s="13"/>
    </row>
    <row r="2702">
      <c r="A2702" s="13" t="s">
        <v>757</v>
      </c>
      <c r="B2702" s="103" t="s">
        <v>1801</v>
      </c>
      <c r="C2702" s="103" t="s">
        <v>1428</v>
      </c>
      <c r="D2702" s="13" t="s">
        <v>1762</v>
      </c>
      <c r="E2702" s="13" t="s">
        <v>426</v>
      </c>
      <c r="F2702" s="13">
        <v>2500.0</v>
      </c>
    </row>
    <row r="2703">
      <c r="D2703" s="13" t="s">
        <v>1904</v>
      </c>
      <c r="E2703" s="13" t="s">
        <v>426</v>
      </c>
      <c r="F2703" s="13">
        <v>4500.0</v>
      </c>
    </row>
    <row r="2704">
      <c r="D2704" s="13" t="s">
        <v>1905</v>
      </c>
      <c r="E2704" s="13" t="s">
        <v>426</v>
      </c>
      <c r="F2704" s="13">
        <v>7400.0</v>
      </c>
    </row>
    <row r="2705">
      <c r="D2705" s="13" t="s">
        <v>822</v>
      </c>
      <c r="E2705" s="13" t="s">
        <v>426</v>
      </c>
      <c r="F2705" s="13">
        <v>18500.0</v>
      </c>
    </row>
    <row r="2706">
      <c r="D2706" s="13"/>
      <c r="E2706" s="13"/>
      <c r="F2706" s="13"/>
    </row>
    <row r="2707">
      <c r="A2707" s="13" t="s">
        <v>1095</v>
      </c>
      <c r="B2707" s="103" t="s">
        <v>1801</v>
      </c>
      <c r="C2707" s="103" t="s">
        <v>1575</v>
      </c>
      <c r="D2707" s="13" t="s">
        <v>1906</v>
      </c>
      <c r="E2707" s="13" t="s">
        <v>429</v>
      </c>
      <c r="F2707" s="13">
        <v>4500.0</v>
      </c>
      <c r="G2707" s="13">
        <v>9000.0</v>
      </c>
    </row>
    <row r="2708">
      <c r="D2708" s="13" t="s">
        <v>1299</v>
      </c>
      <c r="E2708" s="13" t="s">
        <v>426</v>
      </c>
      <c r="F2708" s="13">
        <v>8100.0</v>
      </c>
      <c r="G2708" s="13">
        <v>8100.0</v>
      </c>
    </row>
    <row r="2709">
      <c r="D2709" s="13" t="s">
        <v>1907</v>
      </c>
      <c r="E2709" s="13" t="s">
        <v>429</v>
      </c>
      <c r="F2709" s="13">
        <v>2500.0</v>
      </c>
      <c r="G2709" s="13">
        <v>5000.0</v>
      </c>
    </row>
    <row r="2710">
      <c r="D2710" s="13" t="s">
        <v>908</v>
      </c>
      <c r="E2710" s="13" t="s">
        <v>727</v>
      </c>
      <c r="F2710" s="13">
        <v>4500.0</v>
      </c>
      <c r="G2710" s="13">
        <v>4500.0</v>
      </c>
    </row>
    <row r="2711">
      <c r="D2711" s="13"/>
      <c r="E2711" s="13"/>
      <c r="F2711" s="13"/>
    </row>
    <row r="2712">
      <c r="A2712" s="13" t="s">
        <v>1908</v>
      </c>
      <c r="B2712" s="103" t="s">
        <v>1801</v>
      </c>
      <c r="C2712" s="103" t="s">
        <v>1144</v>
      </c>
      <c r="D2712" s="13" t="s">
        <v>1909</v>
      </c>
      <c r="E2712" s="13" t="s">
        <v>429</v>
      </c>
      <c r="F2712" s="13">
        <v>4200.0</v>
      </c>
      <c r="G2712" s="13">
        <v>8400.0</v>
      </c>
    </row>
    <row r="2713">
      <c r="D2713" s="13" t="s">
        <v>1136</v>
      </c>
      <c r="F2713" s="13"/>
    </row>
    <row r="2714">
      <c r="D2714" s="13"/>
      <c r="E2714" s="13"/>
      <c r="F2714" s="13"/>
    </row>
    <row r="2715">
      <c r="A2715" s="13" t="s">
        <v>1910</v>
      </c>
      <c r="B2715" s="103" t="s">
        <v>1874</v>
      </c>
      <c r="C2715" s="103" t="s">
        <v>1911</v>
      </c>
      <c r="D2715" s="13" t="s">
        <v>558</v>
      </c>
      <c r="E2715" s="13" t="s">
        <v>429</v>
      </c>
      <c r="F2715" s="13">
        <v>4500.0</v>
      </c>
      <c r="G2715" s="13">
        <v>9000.0</v>
      </c>
    </row>
    <row r="2716">
      <c r="D2716" s="13" t="s">
        <v>1625</v>
      </c>
      <c r="E2716" s="13">
        <v>1.0</v>
      </c>
      <c r="F2716" s="13">
        <v>10000.0</v>
      </c>
      <c r="G2716" s="13">
        <v>10000.0</v>
      </c>
    </row>
    <row r="2717">
      <c r="C2717" s="13"/>
      <c r="D2717" s="13"/>
      <c r="E2717" s="13"/>
      <c r="F2717" s="13"/>
    </row>
    <row r="2718">
      <c r="A2718" s="13" t="s">
        <v>1912</v>
      </c>
      <c r="B2718" s="103" t="s">
        <v>1874</v>
      </c>
      <c r="C2718" s="103" t="s">
        <v>1913</v>
      </c>
      <c r="D2718" s="13" t="s">
        <v>731</v>
      </c>
      <c r="E2718" s="13" t="s">
        <v>426</v>
      </c>
      <c r="F2718" s="13">
        <v>3000.0</v>
      </c>
    </row>
    <row r="2719">
      <c r="D2719" s="13" t="s">
        <v>889</v>
      </c>
      <c r="E2719" s="13" t="s">
        <v>426</v>
      </c>
      <c r="F2719" s="13">
        <v>3000.0</v>
      </c>
    </row>
    <row r="2720">
      <c r="D2720" s="13" t="s">
        <v>1914</v>
      </c>
      <c r="E2720" s="13" t="s">
        <v>1039</v>
      </c>
      <c r="F2720" s="13">
        <v>11000.0</v>
      </c>
    </row>
    <row r="2721">
      <c r="D2721" s="13" t="s">
        <v>1915</v>
      </c>
      <c r="E2721" s="13" t="s">
        <v>426</v>
      </c>
      <c r="F2721" s="13">
        <v>3200.0</v>
      </c>
    </row>
    <row r="2722">
      <c r="D2722" s="13" t="s">
        <v>663</v>
      </c>
      <c r="E2722" s="13" t="s">
        <v>426</v>
      </c>
      <c r="F2722" s="13">
        <v>8200.0</v>
      </c>
    </row>
    <row r="2723">
      <c r="D2723" s="13" t="s">
        <v>1822</v>
      </c>
      <c r="E2723" s="13" t="s">
        <v>426</v>
      </c>
      <c r="F2723" s="13">
        <v>6300.0</v>
      </c>
    </row>
    <row r="2724">
      <c r="D2724" s="13" t="s">
        <v>1263</v>
      </c>
      <c r="E2724" s="13" t="s">
        <v>426</v>
      </c>
      <c r="F2724" s="13">
        <v>7500.0</v>
      </c>
    </row>
    <row r="2725">
      <c r="D2725" s="13" t="s">
        <v>675</v>
      </c>
      <c r="E2725" s="13" t="s">
        <v>426</v>
      </c>
      <c r="F2725" s="13">
        <v>2500.0</v>
      </c>
    </row>
    <row r="2726">
      <c r="D2726" s="13" t="s">
        <v>558</v>
      </c>
      <c r="E2726" s="13" t="s">
        <v>426</v>
      </c>
      <c r="F2726" s="13">
        <v>4500.0</v>
      </c>
    </row>
    <row r="2727">
      <c r="D2727" s="13" t="s">
        <v>1609</v>
      </c>
      <c r="E2727" s="13" t="s">
        <v>426</v>
      </c>
      <c r="F2727" s="13">
        <v>5000.0</v>
      </c>
    </row>
    <row r="2728">
      <c r="E2728" s="13"/>
      <c r="F2728" s="13"/>
    </row>
    <row r="2729">
      <c r="B2729" s="103" t="s">
        <v>1874</v>
      </c>
      <c r="C2729" s="103" t="s">
        <v>1916</v>
      </c>
      <c r="D2729" s="13" t="s">
        <v>1651</v>
      </c>
      <c r="E2729" s="13">
        <v>2.5</v>
      </c>
      <c r="F2729" s="13"/>
    </row>
    <row r="2730">
      <c r="D2730" s="13" t="s">
        <v>558</v>
      </c>
      <c r="E2730" s="13" t="s">
        <v>426</v>
      </c>
      <c r="F2730" s="13"/>
    </row>
    <row r="2731">
      <c r="F2731" s="13"/>
    </row>
    <row r="2732">
      <c r="C2732" s="13" t="s">
        <v>1917</v>
      </c>
      <c r="D2732" s="13" t="s">
        <v>558</v>
      </c>
      <c r="E2732" s="13" t="s">
        <v>445</v>
      </c>
      <c r="F2732" s="13">
        <v>4500.0</v>
      </c>
      <c r="G2732" s="32">
        <f>F2732*4</f>
        <v>18000</v>
      </c>
    </row>
    <row r="2733">
      <c r="D2733" s="13" t="s">
        <v>446</v>
      </c>
      <c r="E2733" s="13" t="s">
        <v>426</v>
      </c>
      <c r="F2733" s="13">
        <v>4000.0</v>
      </c>
      <c r="G2733" s="13">
        <v>4000.0</v>
      </c>
    </row>
    <row r="2734">
      <c r="D2734" s="13"/>
      <c r="E2734" s="13"/>
      <c r="F2734" s="13"/>
    </row>
    <row r="2735">
      <c r="A2735" s="13" t="s">
        <v>811</v>
      </c>
      <c r="B2735" s="13" t="s">
        <v>1901</v>
      </c>
      <c r="C2735" s="13" t="s">
        <v>1918</v>
      </c>
      <c r="D2735" s="13" t="s">
        <v>824</v>
      </c>
      <c r="E2735" s="13" t="s">
        <v>426</v>
      </c>
      <c r="F2735" s="13">
        <v>11700.0</v>
      </c>
    </row>
    <row r="2736">
      <c r="D2736" s="13"/>
      <c r="E2736" s="13"/>
      <c r="F2736" s="13"/>
    </row>
    <row r="2737">
      <c r="A2737" s="13" t="s">
        <v>645</v>
      </c>
      <c r="B2737" s="13" t="s">
        <v>1901</v>
      </c>
      <c r="C2737" s="13" t="s">
        <v>1778</v>
      </c>
      <c r="D2737" s="13" t="s">
        <v>732</v>
      </c>
      <c r="E2737" s="13" t="s">
        <v>426</v>
      </c>
      <c r="F2737" s="13">
        <v>12000.0</v>
      </c>
    </row>
    <row r="2738">
      <c r="D2738" s="13"/>
      <c r="E2738" s="13"/>
      <c r="F2738" s="13"/>
    </row>
    <row r="2739">
      <c r="D2739" s="13"/>
      <c r="E2739" s="13"/>
      <c r="F2739" s="13"/>
    </row>
    <row r="2740">
      <c r="B2740" s="13" t="s">
        <v>1919</v>
      </c>
      <c r="C2740" s="13" t="s">
        <v>1765</v>
      </c>
      <c r="D2740" s="13" t="s">
        <v>1766</v>
      </c>
      <c r="E2740" s="13">
        <v>1.0</v>
      </c>
      <c r="F2740" s="13"/>
    </row>
    <row r="2741">
      <c r="D2741" s="13"/>
      <c r="E2741" s="13"/>
      <c r="F2741" s="13"/>
    </row>
    <row r="2742">
      <c r="D2742" s="13"/>
      <c r="E2742" s="13"/>
      <c r="F2742" s="13"/>
    </row>
    <row r="2743">
      <c r="B2743" s="13" t="s">
        <v>1901</v>
      </c>
      <c r="C2743" s="13" t="s">
        <v>1920</v>
      </c>
      <c r="D2743" s="13" t="s">
        <v>590</v>
      </c>
      <c r="E2743" s="13" t="s">
        <v>426</v>
      </c>
      <c r="F2743" s="13">
        <v>3000.0</v>
      </c>
    </row>
    <row r="2744">
      <c r="D2744" s="13" t="s">
        <v>810</v>
      </c>
      <c r="E2744" s="13" t="s">
        <v>426</v>
      </c>
      <c r="F2744" s="13"/>
    </row>
    <row r="2745">
      <c r="D2745" s="13" t="s">
        <v>807</v>
      </c>
      <c r="E2745" s="13" t="s">
        <v>426</v>
      </c>
      <c r="F2745" s="13">
        <v>23000.0</v>
      </c>
    </row>
    <row r="2746">
      <c r="D2746" s="13" t="s">
        <v>1101</v>
      </c>
      <c r="E2746" s="13" t="s">
        <v>426</v>
      </c>
      <c r="F2746" s="13"/>
    </row>
    <row r="2747">
      <c r="D2747" s="13" t="s">
        <v>816</v>
      </c>
      <c r="E2747" s="13" t="s">
        <v>426</v>
      </c>
      <c r="F2747" s="13"/>
    </row>
    <row r="2748">
      <c r="D2748" s="13"/>
      <c r="E2748" s="13"/>
      <c r="F2748" s="13"/>
    </row>
    <row r="2749">
      <c r="D2749" s="13"/>
      <c r="E2749" s="13"/>
      <c r="F2749" s="13"/>
    </row>
    <row r="2750">
      <c r="A2750" s="13" t="s">
        <v>811</v>
      </c>
      <c r="B2750" s="13" t="s">
        <v>1901</v>
      </c>
      <c r="C2750" s="13" t="s">
        <v>1676</v>
      </c>
      <c r="D2750" s="13" t="s">
        <v>558</v>
      </c>
      <c r="E2750" s="13" t="s">
        <v>426</v>
      </c>
      <c r="F2750" s="13">
        <v>4500.0</v>
      </c>
    </row>
    <row r="2751">
      <c r="D2751" s="13" t="s">
        <v>1457</v>
      </c>
      <c r="E2751" s="13" t="s">
        <v>426</v>
      </c>
      <c r="F2751" s="13">
        <v>14000.0</v>
      </c>
    </row>
    <row r="2752">
      <c r="B2752" s="13" t="s">
        <v>1901</v>
      </c>
      <c r="C2752" s="13"/>
      <c r="D2752" s="13"/>
      <c r="E2752" s="13"/>
      <c r="F2752" s="13"/>
    </row>
    <row r="2753">
      <c r="D2753" s="13"/>
      <c r="E2753" s="13"/>
      <c r="F2753" s="13"/>
    </row>
    <row r="2754">
      <c r="D2754" s="13"/>
      <c r="E2754" s="13"/>
      <c r="F2754" s="13"/>
    </row>
    <row r="2755">
      <c r="A2755" s="13" t="s">
        <v>743</v>
      </c>
      <c r="B2755" s="13" t="s">
        <v>542</v>
      </c>
      <c r="C2755" s="13" t="s">
        <v>542</v>
      </c>
      <c r="D2755" s="13" t="s">
        <v>1921</v>
      </c>
      <c r="E2755" s="13">
        <v>1.0</v>
      </c>
      <c r="F2755" s="13"/>
    </row>
    <row r="2756">
      <c r="D2756" s="13"/>
      <c r="E2756" s="13"/>
      <c r="F2756" s="13"/>
    </row>
    <row r="2757">
      <c r="B2757" s="13" t="s">
        <v>1922</v>
      </c>
      <c r="C2757" s="13" t="s">
        <v>1922</v>
      </c>
      <c r="D2757" s="13" t="s">
        <v>1067</v>
      </c>
      <c r="E2757" s="13"/>
      <c r="F2757" s="13"/>
    </row>
    <row r="2758">
      <c r="D2758" s="13"/>
      <c r="E2758" s="13"/>
      <c r="F2758" s="13"/>
    </row>
    <row r="2759">
      <c r="D2759" s="13"/>
      <c r="E2759" s="13"/>
      <c r="F2759" s="13"/>
    </row>
    <row r="2760">
      <c r="B2760" s="103" t="s">
        <v>1923</v>
      </c>
      <c r="C2760" s="103" t="s">
        <v>1235</v>
      </c>
      <c r="D2760" s="13" t="s">
        <v>865</v>
      </c>
      <c r="E2760" s="13" t="s">
        <v>426</v>
      </c>
      <c r="F2760" s="13">
        <v>23000.0</v>
      </c>
    </row>
    <row r="2761">
      <c r="D2761" s="13" t="s">
        <v>687</v>
      </c>
      <c r="E2761" s="13" t="s">
        <v>426</v>
      </c>
      <c r="F2761" s="13">
        <v>4000.0</v>
      </c>
    </row>
    <row r="2762">
      <c r="D2762" s="13"/>
      <c r="E2762" s="13"/>
      <c r="F2762" s="13"/>
    </row>
    <row r="2763">
      <c r="D2763" s="13"/>
      <c r="E2763" s="13"/>
      <c r="F2763" s="13"/>
    </row>
    <row r="2764">
      <c r="A2764" s="13" t="s">
        <v>808</v>
      </c>
      <c r="B2764" s="103" t="s">
        <v>1874</v>
      </c>
      <c r="C2764" s="103" t="s">
        <v>1924</v>
      </c>
      <c r="D2764" s="13" t="s">
        <v>1788</v>
      </c>
      <c r="E2764" s="13" t="s">
        <v>429</v>
      </c>
      <c r="F2764" s="13">
        <v>40000.0</v>
      </c>
    </row>
    <row r="2765">
      <c r="D2765" s="13"/>
      <c r="E2765" s="13"/>
      <c r="F2765" s="13"/>
    </row>
    <row r="2766">
      <c r="A2766" s="13" t="s">
        <v>1095</v>
      </c>
      <c r="B2766" s="103" t="s">
        <v>1874</v>
      </c>
      <c r="C2766" s="103" t="s">
        <v>1925</v>
      </c>
      <c r="D2766" s="13" t="s">
        <v>1926</v>
      </c>
      <c r="E2766" s="13" t="s">
        <v>426</v>
      </c>
      <c r="F2766" s="13">
        <v>6300.0</v>
      </c>
    </row>
    <row r="2767">
      <c r="D2767" s="13" t="s">
        <v>1927</v>
      </c>
      <c r="E2767" s="13" t="s">
        <v>426</v>
      </c>
      <c r="F2767" s="13">
        <v>6500.0</v>
      </c>
    </row>
    <row r="2768">
      <c r="D2768" s="13" t="s">
        <v>1053</v>
      </c>
      <c r="E2768" s="13" t="s">
        <v>426</v>
      </c>
      <c r="F2768" s="13">
        <v>23000.0</v>
      </c>
    </row>
    <row r="2769">
      <c r="D2769" s="13"/>
      <c r="E2769" s="13"/>
      <c r="F2769" s="13"/>
    </row>
    <row r="2770">
      <c r="A2770" s="13" t="s">
        <v>645</v>
      </c>
      <c r="C2770" s="13" t="s">
        <v>1928</v>
      </c>
      <c r="D2770" s="13" t="s">
        <v>1929</v>
      </c>
      <c r="E2770" s="13">
        <v>1.0</v>
      </c>
      <c r="F2770" s="13">
        <v>12000.0</v>
      </c>
    </row>
    <row r="2771">
      <c r="D2771" s="13"/>
      <c r="E2771" s="13"/>
      <c r="F2771" s="13"/>
    </row>
    <row r="2772">
      <c r="A2772" s="13" t="s">
        <v>1930</v>
      </c>
      <c r="B2772" s="13" t="s">
        <v>1901</v>
      </c>
      <c r="C2772" s="13" t="s">
        <v>935</v>
      </c>
      <c r="D2772" s="13" t="s">
        <v>908</v>
      </c>
      <c r="E2772" s="13" t="s">
        <v>426</v>
      </c>
      <c r="F2772" s="13"/>
    </row>
    <row r="2773">
      <c r="D2773" s="13"/>
      <c r="E2773" s="13"/>
      <c r="F2773" s="13"/>
    </row>
    <row r="2774">
      <c r="D2774" s="13"/>
      <c r="E2774" s="13"/>
      <c r="F2774" s="13"/>
    </row>
    <row r="2775">
      <c r="A2775" s="13" t="s">
        <v>521</v>
      </c>
      <c r="C2775" s="13" t="s">
        <v>1768</v>
      </c>
      <c r="D2775" s="13" t="s">
        <v>595</v>
      </c>
      <c r="E2775" s="13">
        <v>1.0</v>
      </c>
      <c r="F2775" s="13">
        <v>4500.0</v>
      </c>
    </row>
    <row r="2776">
      <c r="D2776" s="13" t="s">
        <v>908</v>
      </c>
      <c r="E2776" s="13">
        <v>1.0</v>
      </c>
      <c r="F2776" s="13">
        <v>8000.0</v>
      </c>
    </row>
    <row r="2777">
      <c r="D2777" s="13" t="s">
        <v>933</v>
      </c>
      <c r="E2777" s="13">
        <v>1.0</v>
      </c>
      <c r="F2777" s="13">
        <v>8700.0</v>
      </c>
    </row>
    <row r="2778">
      <c r="D2778" s="13"/>
      <c r="E2778" s="13"/>
      <c r="F2778" s="13"/>
    </row>
    <row r="2779">
      <c r="D2779" s="13"/>
      <c r="E2779" s="13"/>
      <c r="F2779" s="13"/>
    </row>
    <row r="2780">
      <c r="D2780" s="13"/>
      <c r="E2780" s="13"/>
      <c r="F2780" s="13"/>
    </row>
    <row r="2781">
      <c r="A2781" s="107">
        <v>46071.0</v>
      </c>
      <c r="B2781" s="13" t="s">
        <v>645</v>
      </c>
      <c r="C2781" s="13" t="s">
        <v>1931</v>
      </c>
      <c r="D2781" s="13" t="s">
        <v>577</v>
      </c>
      <c r="E2781" s="13" t="s">
        <v>426</v>
      </c>
      <c r="F2781" s="13"/>
    </row>
    <row r="2782">
      <c r="D2782" s="13"/>
      <c r="E2782" s="13"/>
      <c r="F2782" s="13"/>
    </row>
    <row r="2783">
      <c r="B2783" s="13" t="s">
        <v>811</v>
      </c>
      <c r="C2783" s="13" t="s">
        <v>1768</v>
      </c>
      <c r="D2783" s="13" t="s">
        <v>543</v>
      </c>
      <c r="E2783" s="13" t="s">
        <v>426</v>
      </c>
      <c r="F2783" s="13"/>
    </row>
    <row r="2784">
      <c r="D2784" s="13" t="s">
        <v>988</v>
      </c>
      <c r="E2784" s="13" t="s">
        <v>426</v>
      </c>
      <c r="F2784" s="13"/>
    </row>
    <row r="2785">
      <c r="D2785" s="13" t="s">
        <v>1932</v>
      </c>
      <c r="E2785" s="13">
        <v>2.0</v>
      </c>
      <c r="F2785" s="13"/>
    </row>
    <row r="2786">
      <c r="D2786" s="13"/>
      <c r="E2786" s="13"/>
      <c r="F2786" s="13"/>
    </row>
    <row r="2787">
      <c r="D2787" s="13"/>
      <c r="E2787" s="13"/>
      <c r="F2787" s="13"/>
    </row>
    <row r="2788">
      <c r="B2788" s="13" t="s">
        <v>811</v>
      </c>
      <c r="C2788" s="13" t="s">
        <v>1933</v>
      </c>
      <c r="D2788" s="13" t="s">
        <v>822</v>
      </c>
      <c r="E2788" s="13" t="s">
        <v>429</v>
      </c>
      <c r="F2788" s="13"/>
    </row>
    <row r="2789">
      <c r="D2789" s="13" t="s">
        <v>1934</v>
      </c>
      <c r="E2789" s="13" t="s">
        <v>426</v>
      </c>
      <c r="F2789" s="13"/>
    </row>
    <row r="2790">
      <c r="D2790" s="13"/>
      <c r="E2790" s="13"/>
      <c r="F2790" s="13"/>
    </row>
    <row r="2791">
      <c r="B2791" s="13" t="s">
        <v>811</v>
      </c>
      <c r="C2791" s="13" t="s">
        <v>1935</v>
      </c>
      <c r="D2791" s="13" t="s">
        <v>598</v>
      </c>
      <c r="E2791" s="13" t="s">
        <v>426</v>
      </c>
      <c r="F2791" s="13"/>
    </row>
    <row r="2792">
      <c r="D2792" s="13" t="s">
        <v>630</v>
      </c>
      <c r="E2792" s="13" t="s">
        <v>426</v>
      </c>
      <c r="F2792" s="13"/>
    </row>
    <row r="2793">
      <c r="D2793" s="13" t="s">
        <v>1392</v>
      </c>
      <c r="E2793" s="13">
        <v>1.0</v>
      </c>
      <c r="F2793" s="13"/>
    </row>
    <row r="2794">
      <c r="D2794" s="13" t="s">
        <v>908</v>
      </c>
      <c r="E2794" s="13" t="s">
        <v>429</v>
      </c>
      <c r="F2794" s="13"/>
    </row>
    <row r="2795">
      <c r="D2795" s="13" t="s">
        <v>1936</v>
      </c>
      <c r="E2795" s="13" t="s">
        <v>426</v>
      </c>
      <c r="F2795" s="13"/>
    </row>
    <row r="2796">
      <c r="D2796" s="13"/>
      <c r="E2796" s="13"/>
      <c r="F2796" s="13"/>
    </row>
    <row r="2797">
      <c r="C2797" s="13"/>
      <c r="D2797" s="13"/>
      <c r="E2797" s="13"/>
      <c r="F2797" s="13"/>
    </row>
    <row r="2798">
      <c r="D2798" s="13"/>
      <c r="E2798" s="13"/>
      <c r="F2798" s="13"/>
    </row>
    <row r="2799">
      <c r="D2799" s="13"/>
      <c r="E2799" s="13"/>
      <c r="F2799" s="13"/>
    </row>
    <row r="2800">
      <c r="D2800" s="13"/>
      <c r="E2800" s="13"/>
      <c r="F2800" s="13"/>
    </row>
    <row r="2801">
      <c r="A2801" s="13" t="s">
        <v>1937</v>
      </c>
      <c r="B2801" s="103" t="s">
        <v>1801</v>
      </c>
      <c r="C2801" s="103" t="s">
        <v>1938</v>
      </c>
      <c r="D2801" s="13" t="s">
        <v>1514</v>
      </c>
      <c r="E2801" s="13" t="s">
        <v>426</v>
      </c>
      <c r="F2801" s="13">
        <v>4000.0</v>
      </c>
    </row>
    <row r="2802">
      <c r="D2802" s="13" t="s">
        <v>1736</v>
      </c>
      <c r="E2802" s="13" t="s">
        <v>727</v>
      </c>
      <c r="F2802" s="13">
        <v>2100.0</v>
      </c>
    </row>
    <row r="2803">
      <c r="B2803" s="13" t="s">
        <v>1939</v>
      </c>
      <c r="D2803" s="13" t="s">
        <v>1940</v>
      </c>
      <c r="E2803" s="13">
        <v>1.0</v>
      </c>
      <c r="F2803" s="13">
        <v>4200.0</v>
      </c>
    </row>
    <row r="2804">
      <c r="D2804" s="13" t="s">
        <v>1941</v>
      </c>
      <c r="E2804" s="13" t="s">
        <v>426</v>
      </c>
      <c r="F2804" s="13">
        <v>3000.0</v>
      </c>
    </row>
    <row r="2805">
      <c r="D2805" s="13" t="s">
        <v>1074</v>
      </c>
      <c r="E2805" s="13" t="s">
        <v>752</v>
      </c>
      <c r="F2805" s="13">
        <v>11700.0</v>
      </c>
    </row>
    <row r="2806">
      <c r="D2806" s="13" t="s">
        <v>1942</v>
      </c>
      <c r="E2806" s="13" t="s">
        <v>752</v>
      </c>
      <c r="F2806" s="13">
        <v>8200.0</v>
      </c>
    </row>
    <row r="2807">
      <c r="D2807" s="13" t="s">
        <v>1603</v>
      </c>
      <c r="E2807" s="13" t="s">
        <v>429</v>
      </c>
      <c r="F2807" s="13">
        <v>8400.0</v>
      </c>
    </row>
    <row r="2808">
      <c r="D2808" s="13" t="s">
        <v>1943</v>
      </c>
      <c r="E2808" s="13" t="s">
        <v>1039</v>
      </c>
      <c r="F2808" s="13">
        <v>11000.0</v>
      </c>
    </row>
    <row r="2809">
      <c r="D2809" s="13" t="s">
        <v>1944</v>
      </c>
      <c r="E2809" s="13" t="s">
        <v>426</v>
      </c>
      <c r="F2809" s="13">
        <v>7000.0</v>
      </c>
    </row>
    <row r="2810">
      <c r="D2810" s="13" t="s">
        <v>1419</v>
      </c>
      <c r="E2810" s="13" t="s">
        <v>426</v>
      </c>
      <c r="F2810" s="13">
        <v>3200.0</v>
      </c>
    </row>
    <row r="2811">
      <c r="D2811" s="13" t="s">
        <v>908</v>
      </c>
      <c r="E2811" s="13" t="s">
        <v>426</v>
      </c>
      <c r="F2811" s="13">
        <v>8000.0</v>
      </c>
    </row>
    <row r="2812">
      <c r="A2812" s="13" t="s">
        <v>757</v>
      </c>
      <c r="B2812" s="103" t="s">
        <v>1874</v>
      </c>
      <c r="C2812" s="103" t="s">
        <v>1578</v>
      </c>
      <c r="D2812" s="13" t="s">
        <v>1733</v>
      </c>
      <c r="E2812" s="13" t="s">
        <v>426</v>
      </c>
      <c r="F2812" s="13"/>
    </row>
    <row r="2813">
      <c r="D2813" s="13" t="s">
        <v>1945</v>
      </c>
      <c r="E2813" s="13" t="s">
        <v>426</v>
      </c>
      <c r="F2813" s="13"/>
    </row>
    <row r="2814">
      <c r="D2814" s="13"/>
      <c r="E2814" s="13"/>
      <c r="F2814" s="13"/>
    </row>
    <row r="2815">
      <c r="A2815" s="13" t="s">
        <v>757</v>
      </c>
      <c r="B2815" s="103" t="s">
        <v>1874</v>
      </c>
      <c r="C2815" s="103" t="s">
        <v>1946</v>
      </c>
      <c r="D2815" s="13" t="s">
        <v>885</v>
      </c>
      <c r="E2815" s="13" t="s">
        <v>426</v>
      </c>
      <c r="F2815" s="13">
        <v>18500.0</v>
      </c>
    </row>
    <row r="2816">
      <c r="D2816" s="13" t="s">
        <v>60</v>
      </c>
      <c r="E2816" s="13" t="s">
        <v>426</v>
      </c>
      <c r="F2816" s="13">
        <v>13000.0</v>
      </c>
    </row>
    <row r="2817">
      <c r="D2817" s="13"/>
      <c r="E2817" s="13"/>
      <c r="F2817" s="13"/>
    </row>
    <row r="2818">
      <c r="A2818" s="13" t="s">
        <v>521</v>
      </c>
      <c r="B2818" s="103" t="s">
        <v>1874</v>
      </c>
      <c r="C2818" s="103" t="s">
        <v>501</v>
      </c>
      <c r="D2818" s="13" t="s">
        <v>1336</v>
      </c>
      <c r="E2818" s="13" t="s">
        <v>727</v>
      </c>
      <c r="F2818" s="13">
        <v>4500.0</v>
      </c>
    </row>
    <row r="2819">
      <c r="D2819" s="13" t="s">
        <v>1947</v>
      </c>
      <c r="E2819" s="13">
        <v>1.0</v>
      </c>
      <c r="F2819" s="13">
        <v>2600.0</v>
      </c>
    </row>
    <row r="2820">
      <c r="D2820" s="13"/>
      <c r="E2820" s="13"/>
      <c r="F2820" s="13"/>
    </row>
    <row r="2821">
      <c r="A2821" s="13" t="s">
        <v>521</v>
      </c>
      <c r="B2821" s="103" t="s">
        <v>1874</v>
      </c>
      <c r="C2821" s="103" t="s">
        <v>1948</v>
      </c>
      <c r="D2821" s="13" t="s">
        <v>533</v>
      </c>
      <c r="E2821" s="13" t="s">
        <v>426</v>
      </c>
      <c r="F2821" s="13">
        <v>3000.0</v>
      </c>
    </row>
    <row r="2822">
      <c r="D2822" s="13" t="s">
        <v>821</v>
      </c>
      <c r="E2822" s="13" t="s">
        <v>426</v>
      </c>
      <c r="F2822" s="13">
        <v>19500.0</v>
      </c>
    </row>
    <row r="2823">
      <c r="D2823" s="13" t="s">
        <v>1949</v>
      </c>
      <c r="E2823" s="13" t="s">
        <v>426</v>
      </c>
      <c r="F2823" s="13">
        <v>17500.0</v>
      </c>
    </row>
    <row r="2824">
      <c r="D2824" s="13" t="s">
        <v>606</v>
      </c>
      <c r="E2824" s="13" t="s">
        <v>426</v>
      </c>
      <c r="F2824" s="13">
        <v>6300.0</v>
      </c>
    </row>
    <row r="2825">
      <c r="D2825" s="13" t="s">
        <v>1336</v>
      </c>
      <c r="E2825" s="13" t="s">
        <v>426</v>
      </c>
      <c r="F2825" s="13">
        <v>7500.0</v>
      </c>
    </row>
    <row r="2826">
      <c r="D2826" s="13"/>
      <c r="E2826" s="13"/>
      <c r="F2826" s="13"/>
    </row>
    <row r="2827">
      <c r="A2827" s="13" t="s">
        <v>1737</v>
      </c>
      <c r="B2827" s="103" t="s">
        <v>1874</v>
      </c>
      <c r="C2827" s="103" t="s">
        <v>714</v>
      </c>
      <c r="D2827" s="13" t="s">
        <v>1893</v>
      </c>
      <c r="E2827" s="13">
        <v>1.0</v>
      </c>
      <c r="F2827" s="13"/>
    </row>
    <row r="2828">
      <c r="D2828" s="13"/>
      <c r="E2828" s="13"/>
      <c r="F2828" s="13"/>
    </row>
    <row r="2829">
      <c r="D2829" s="13"/>
      <c r="E2829" s="13"/>
      <c r="F2829" s="13"/>
    </row>
    <row r="2830">
      <c r="A2830" s="13" t="s">
        <v>521</v>
      </c>
      <c r="B2830" s="103" t="s">
        <v>1950</v>
      </c>
      <c r="C2830" s="103" t="s">
        <v>1951</v>
      </c>
      <c r="D2830" s="13" t="s">
        <v>577</v>
      </c>
      <c r="E2830" s="13" t="s">
        <v>426</v>
      </c>
      <c r="F2830" s="13">
        <v>23000.0</v>
      </c>
    </row>
    <row r="2831">
      <c r="D2831" s="13"/>
      <c r="E2831" s="13"/>
      <c r="F2831" s="13"/>
    </row>
    <row r="2832">
      <c r="D2832" s="13"/>
      <c r="E2832" s="13"/>
      <c r="F2832" s="13"/>
    </row>
    <row r="2833">
      <c r="B2833" s="103" t="s">
        <v>1874</v>
      </c>
      <c r="C2833" s="103" t="s">
        <v>1325</v>
      </c>
      <c r="D2833" s="56" t="s">
        <v>1952</v>
      </c>
      <c r="E2833" s="13" t="s">
        <v>429</v>
      </c>
      <c r="F2833" s="13">
        <v>12400.0</v>
      </c>
      <c r="G2833" s="13">
        <v>24800.0</v>
      </c>
    </row>
    <row r="2834">
      <c r="D2834" s="13" t="s">
        <v>908</v>
      </c>
      <c r="E2834" s="13" t="s">
        <v>426</v>
      </c>
      <c r="F2834" s="13">
        <v>8000.0</v>
      </c>
      <c r="G2834" s="13">
        <v>8000.0</v>
      </c>
    </row>
    <row r="2835">
      <c r="A2835" s="108"/>
      <c r="D2835" s="13" t="s">
        <v>799</v>
      </c>
      <c r="E2835" s="13" t="s">
        <v>426</v>
      </c>
      <c r="F2835" s="13">
        <v>20000.0</v>
      </c>
      <c r="G2835" s="13">
        <v>20000.0</v>
      </c>
    </row>
    <row r="2837">
      <c r="A2837" s="13" t="s">
        <v>521</v>
      </c>
      <c r="B2837" s="103" t="s">
        <v>1874</v>
      </c>
      <c r="C2837" s="103" t="s">
        <v>1953</v>
      </c>
      <c r="D2837" s="13" t="s">
        <v>758</v>
      </c>
      <c r="E2837" s="13" t="s">
        <v>429</v>
      </c>
      <c r="F2837" s="13">
        <v>4500.0</v>
      </c>
      <c r="G2837" s="13">
        <v>9000.0</v>
      </c>
    </row>
    <row r="2839">
      <c r="D2839" s="13"/>
      <c r="E2839" s="13"/>
      <c r="F2839" s="13"/>
    </row>
    <row r="2840">
      <c r="D2840" s="13"/>
      <c r="E2840" s="13"/>
      <c r="F2840" s="13"/>
    </row>
    <row r="2841">
      <c r="D2841" s="13"/>
      <c r="E2841" s="13"/>
      <c r="F2841" s="13"/>
    </row>
    <row r="2842">
      <c r="D2842" s="13"/>
      <c r="E2842" s="13"/>
      <c r="F2842" s="13"/>
    </row>
    <row r="2843">
      <c r="A2843" s="78">
        <v>46075.0</v>
      </c>
      <c r="D2843" s="13"/>
      <c r="E2843" s="13"/>
      <c r="F2843" s="13"/>
    </row>
    <row r="2844">
      <c r="A2844" s="13" t="s">
        <v>521</v>
      </c>
      <c r="B2844" s="103" t="s">
        <v>1874</v>
      </c>
      <c r="C2844" s="103" t="s">
        <v>1954</v>
      </c>
      <c r="D2844" s="13" t="s">
        <v>1532</v>
      </c>
      <c r="E2844" s="13" t="s">
        <v>426</v>
      </c>
      <c r="F2844" s="13">
        <v>14000.0</v>
      </c>
    </row>
    <row r="2845">
      <c r="D2845" s="13"/>
      <c r="E2845" s="13"/>
      <c r="F2845" s="13"/>
    </row>
    <row r="2846">
      <c r="D2846" s="13"/>
      <c r="E2846" s="13"/>
      <c r="F2846" s="13"/>
    </row>
    <row r="2847">
      <c r="D2847" s="13"/>
      <c r="E2847" s="13"/>
      <c r="F2847" s="13"/>
    </row>
    <row r="2848">
      <c r="B2848" s="13" t="s">
        <v>811</v>
      </c>
      <c r="C2848" s="79" t="s">
        <v>741</v>
      </c>
      <c r="D2848" s="13" t="s">
        <v>558</v>
      </c>
      <c r="E2848" s="13" t="s">
        <v>1039</v>
      </c>
      <c r="F2848" s="13">
        <v>4500.0</v>
      </c>
      <c r="G2848" s="32">
        <f>5*F2848</f>
        <v>22500</v>
      </c>
    </row>
    <row r="2849">
      <c r="D2849" s="13" t="s">
        <v>1261</v>
      </c>
      <c r="E2849" s="13" t="s">
        <v>426</v>
      </c>
      <c r="F2849" s="13"/>
      <c r="G2849" s="13">
        <v>1500.0</v>
      </c>
    </row>
    <row r="2850">
      <c r="D2850" s="13"/>
      <c r="E2850" s="13"/>
      <c r="F2850" s="13"/>
    </row>
    <row r="2851">
      <c r="A2851" s="13" t="s">
        <v>811</v>
      </c>
      <c r="B2851" s="13" t="s">
        <v>1801</v>
      </c>
      <c r="C2851" s="103" t="s">
        <v>599</v>
      </c>
      <c r="D2851" s="13" t="s">
        <v>444</v>
      </c>
      <c r="E2851" s="13" t="s">
        <v>426</v>
      </c>
      <c r="F2851" s="13">
        <v>13000.0</v>
      </c>
    </row>
    <row r="2852">
      <c r="D2852" s="13" t="s">
        <v>585</v>
      </c>
      <c r="E2852" s="13" t="s">
        <v>1024</v>
      </c>
      <c r="F2852" s="13">
        <v>1500.0</v>
      </c>
    </row>
    <row r="2853">
      <c r="D2853" s="13" t="s">
        <v>908</v>
      </c>
      <c r="E2853" s="13" t="s">
        <v>814</v>
      </c>
      <c r="F2853" s="13">
        <v>2000.0</v>
      </c>
    </row>
    <row r="2854">
      <c r="D2854" s="13" t="s">
        <v>446</v>
      </c>
      <c r="E2854" s="13" t="s">
        <v>1024</v>
      </c>
      <c r="F2854" s="13">
        <v>2000.0</v>
      </c>
    </row>
    <row r="2855">
      <c r="D2855" s="13" t="s">
        <v>602</v>
      </c>
      <c r="E2855" s="13" t="s">
        <v>426</v>
      </c>
      <c r="F2855" s="13">
        <v>0.0</v>
      </c>
    </row>
    <row r="2856">
      <c r="D2856" s="13" t="s">
        <v>580</v>
      </c>
      <c r="E2856" s="13" t="s">
        <v>429</v>
      </c>
      <c r="F2856" s="13">
        <v>4400.0</v>
      </c>
    </row>
    <row r="2857">
      <c r="D2857" s="13" t="s">
        <v>1955</v>
      </c>
      <c r="E2857" s="13" t="s">
        <v>426</v>
      </c>
      <c r="F2857" s="13">
        <v>11000.0</v>
      </c>
    </row>
    <row r="2858">
      <c r="D2858" s="13" t="s">
        <v>1956</v>
      </c>
      <c r="E2858" s="13" t="s">
        <v>429</v>
      </c>
      <c r="F2858" s="13">
        <f>2*2700</f>
        <v>5400</v>
      </c>
    </row>
    <row r="2859">
      <c r="D2859" s="13" t="s">
        <v>1333</v>
      </c>
      <c r="E2859" s="13" t="s">
        <v>727</v>
      </c>
      <c r="F2859" s="13">
        <v>1500.0</v>
      </c>
    </row>
    <row r="2860">
      <c r="D2860" s="13" t="s">
        <v>915</v>
      </c>
      <c r="E2860" s="13" t="s">
        <v>426</v>
      </c>
      <c r="F2860" s="13">
        <v>9300.0</v>
      </c>
    </row>
    <row r="2861">
      <c r="C2861" s="13"/>
      <c r="D2861" s="13" t="s">
        <v>512</v>
      </c>
      <c r="E2861" s="13"/>
      <c r="F2861" s="13">
        <f>SUM(F2851:F2860)</f>
        <v>50100</v>
      </c>
    </row>
    <row r="2862">
      <c r="C2862" s="13"/>
      <c r="D2862" s="13"/>
      <c r="E2862" s="13"/>
      <c r="F2862" s="13"/>
    </row>
    <row r="2863">
      <c r="B2863" s="13" t="s">
        <v>743</v>
      </c>
      <c r="C2863" s="79" t="s">
        <v>542</v>
      </c>
      <c r="D2863" s="13" t="s">
        <v>1957</v>
      </c>
      <c r="E2863" s="13">
        <v>1.0</v>
      </c>
      <c r="F2863" s="13">
        <v>4800.0</v>
      </c>
    </row>
    <row r="2864">
      <c r="D2864" s="13" t="s">
        <v>558</v>
      </c>
      <c r="E2864" s="13" t="s">
        <v>426</v>
      </c>
      <c r="F2864" s="13">
        <v>3400.0</v>
      </c>
    </row>
    <row r="2865">
      <c r="D2865" s="13" t="s">
        <v>444</v>
      </c>
      <c r="E2865" s="13" t="s">
        <v>426</v>
      </c>
      <c r="F2865" s="13">
        <v>11200.0</v>
      </c>
    </row>
    <row r="2866">
      <c r="D2866" s="13" t="s">
        <v>607</v>
      </c>
      <c r="E2866" s="13" t="s">
        <v>426</v>
      </c>
      <c r="F2866" s="13">
        <v>7700.0</v>
      </c>
    </row>
    <row r="2867">
      <c r="D2867" s="13" t="s">
        <v>908</v>
      </c>
      <c r="E2867" s="13" t="s">
        <v>727</v>
      </c>
      <c r="F2867" s="13">
        <v>2900.0</v>
      </c>
    </row>
    <row r="2868">
      <c r="D2868" s="13" t="s">
        <v>630</v>
      </c>
      <c r="E2868" s="13" t="s">
        <v>727</v>
      </c>
      <c r="F2868" s="13">
        <v>3239.0</v>
      </c>
    </row>
    <row r="2869">
      <c r="D2869" s="13" t="s">
        <v>1958</v>
      </c>
      <c r="E2869" s="13" t="s">
        <v>765</v>
      </c>
      <c r="F2869" s="13">
        <v>2580.0</v>
      </c>
    </row>
    <row r="2870">
      <c r="D2870" s="13"/>
      <c r="E2870" s="13"/>
      <c r="F2870" s="13"/>
    </row>
    <row r="2871">
      <c r="B2871" s="103" t="s">
        <v>1874</v>
      </c>
      <c r="C2871" s="103" t="s">
        <v>1576</v>
      </c>
      <c r="D2871" s="13" t="s">
        <v>1357</v>
      </c>
      <c r="E2871" s="13" t="s">
        <v>426</v>
      </c>
      <c r="F2871" s="19">
        <v>18500.0</v>
      </c>
    </row>
    <row r="2874">
      <c r="D2874" s="13" t="s">
        <v>1959</v>
      </c>
      <c r="E2874" s="13" t="s">
        <v>426</v>
      </c>
      <c r="F2874" s="13"/>
    </row>
    <row r="2875">
      <c r="D2875" s="13" t="s">
        <v>1960</v>
      </c>
      <c r="E2875" s="13" t="s">
        <v>1058</v>
      </c>
      <c r="F2875" s="13"/>
    </row>
    <row r="2876">
      <c r="D2876" s="13"/>
      <c r="E2876" s="13"/>
      <c r="F2876" s="13"/>
    </row>
    <row r="2877">
      <c r="B2877" s="103" t="s">
        <v>1801</v>
      </c>
      <c r="C2877" s="103" t="s">
        <v>1961</v>
      </c>
      <c r="F2877" s="13"/>
    </row>
    <row r="2878">
      <c r="D2878" s="13" t="s">
        <v>758</v>
      </c>
      <c r="E2878" s="13" t="s">
        <v>426</v>
      </c>
      <c r="F2878" s="13">
        <v>4500.0</v>
      </c>
    </row>
    <row r="2879">
      <c r="D2879" s="13" t="s">
        <v>1451</v>
      </c>
      <c r="E2879" s="13" t="s">
        <v>426</v>
      </c>
      <c r="F2879" s="13">
        <v>1500.0</v>
      </c>
    </row>
    <row r="2880">
      <c r="D2880" s="13" t="s">
        <v>1962</v>
      </c>
      <c r="E2880" s="13">
        <v>1.0</v>
      </c>
      <c r="F2880" s="13">
        <v>2600.0</v>
      </c>
    </row>
    <row r="2881">
      <c r="D2881" s="13"/>
      <c r="E2881" s="13"/>
      <c r="F2881" s="13"/>
    </row>
    <row r="2882">
      <c r="D2882" s="13"/>
      <c r="E2882" s="13"/>
      <c r="F2882" s="13"/>
    </row>
    <row r="2883">
      <c r="A2883" s="13" t="s">
        <v>1737</v>
      </c>
      <c r="B2883" s="103" t="s">
        <v>1874</v>
      </c>
      <c r="C2883" s="103" t="s">
        <v>714</v>
      </c>
      <c r="D2883" s="13" t="s">
        <v>758</v>
      </c>
      <c r="E2883" s="13" t="s">
        <v>426</v>
      </c>
      <c r="F2883" s="13">
        <v>3400.0</v>
      </c>
    </row>
    <row r="2884">
      <c r="D2884" s="13"/>
      <c r="E2884" s="13"/>
      <c r="F2884" s="13"/>
    </row>
    <row r="2885">
      <c r="B2885" s="103" t="s">
        <v>1801</v>
      </c>
      <c r="C2885" s="103" t="s">
        <v>1191</v>
      </c>
      <c r="D2885" s="13" t="s">
        <v>822</v>
      </c>
      <c r="E2885" s="13" t="s">
        <v>426</v>
      </c>
      <c r="F2885" s="13">
        <v>18500.0</v>
      </c>
    </row>
    <row r="2886">
      <c r="D2886" s="13" t="s">
        <v>908</v>
      </c>
      <c r="E2886" s="13" t="s">
        <v>426</v>
      </c>
      <c r="F2886" s="13">
        <v>8000.0</v>
      </c>
    </row>
    <row r="2887">
      <c r="D2887" s="13" t="s">
        <v>1963</v>
      </c>
      <c r="E2887" s="13" t="s">
        <v>426</v>
      </c>
      <c r="F2887" s="13">
        <v>3000.0</v>
      </c>
    </row>
    <row r="2888">
      <c r="D2888" s="13" t="s">
        <v>1957</v>
      </c>
      <c r="E2888" s="13">
        <v>1.0</v>
      </c>
      <c r="F2888" s="13">
        <v>6300.0</v>
      </c>
    </row>
    <row r="2889">
      <c r="D2889" s="13" t="s">
        <v>1959</v>
      </c>
      <c r="E2889" s="13" t="s">
        <v>426</v>
      </c>
      <c r="F2889" s="13">
        <v>3200.0</v>
      </c>
    </row>
    <row r="2890">
      <c r="D2890" s="13" t="s">
        <v>1964</v>
      </c>
      <c r="E2890" s="13" t="s">
        <v>1965</v>
      </c>
      <c r="F2890" s="13">
        <v>1500.0</v>
      </c>
    </row>
    <row r="2891">
      <c r="D2891" s="13" t="s">
        <v>1204</v>
      </c>
      <c r="E2891" s="13" t="s">
        <v>1714</v>
      </c>
      <c r="F2891" s="13">
        <v>1000.0</v>
      </c>
    </row>
    <row r="2892">
      <c r="D2892" s="13" t="s">
        <v>934</v>
      </c>
      <c r="E2892" s="13" t="s">
        <v>426</v>
      </c>
      <c r="F2892" s="13">
        <v>11000.0</v>
      </c>
    </row>
    <row r="2893">
      <c r="D2893" s="13"/>
      <c r="E2893" s="13"/>
      <c r="F2893" s="13"/>
    </row>
    <row r="2894">
      <c r="A2894" s="13" t="s">
        <v>1966</v>
      </c>
      <c r="B2894" s="103" t="s">
        <v>1801</v>
      </c>
      <c r="C2894" s="103" t="s">
        <v>1967</v>
      </c>
      <c r="D2894" s="13" t="s">
        <v>1053</v>
      </c>
      <c r="E2894" s="13" t="s">
        <v>426</v>
      </c>
      <c r="F2894" s="13">
        <v>23000.0</v>
      </c>
    </row>
    <row r="2895">
      <c r="D2895" s="13"/>
      <c r="E2895" s="13"/>
      <c r="F2895" s="13"/>
    </row>
    <row r="2896">
      <c r="D2896" s="13"/>
      <c r="E2896" s="13"/>
      <c r="F2896" s="13"/>
    </row>
    <row r="2897">
      <c r="A2897" s="13" t="s">
        <v>811</v>
      </c>
      <c r="B2897" s="13" t="s">
        <v>1901</v>
      </c>
      <c r="C2897" s="13" t="s">
        <v>1968</v>
      </c>
      <c r="D2897" s="13" t="s">
        <v>577</v>
      </c>
      <c r="E2897" s="13" t="s">
        <v>426</v>
      </c>
      <c r="F2897" s="13">
        <v>23000.0</v>
      </c>
    </row>
    <row r="2898">
      <c r="D2898" s="13"/>
      <c r="E2898" s="13"/>
      <c r="F2898" s="13"/>
    </row>
    <row r="2899">
      <c r="B2899" s="13" t="s">
        <v>645</v>
      </c>
      <c r="C2899" s="13" t="s">
        <v>943</v>
      </c>
      <c r="D2899" s="13" t="s">
        <v>1969</v>
      </c>
      <c r="E2899" s="13">
        <v>1.0</v>
      </c>
      <c r="F2899" s="13"/>
    </row>
    <row r="2900">
      <c r="D2900" s="13" t="s">
        <v>1970</v>
      </c>
      <c r="E2900" s="13">
        <v>1.0</v>
      </c>
      <c r="F2900" s="13"/>
    </row>
    <row r="2901">
      <c r="D2901" s="13" t="s">
        <v>558</v>
      </c>
      <c r="E2901" s="13" t="s">
        <v>426</v>
      </c>
      <c r="F2901" s="13"/>
    </row>
    <row r="2902">
      <c r="D2902" s="13" t="s">
        <v>446</v>
      </c>
      <c r="E2902" s="13" t="s">
        <v>426</v>
      </c>
      <c r="F2902" s="13"/>
    </row>
    <row r="2903">
      <c r="D2903" s="13" t="s">
        <v>1275</v>
      </c>
      <c r="E2903" s="13" t="s">
        <v>426</v>
      </c>
      <c r="F2903" s="13"/>
    </row>
    <row r="2904">
      <c r="D2904" s="13" t="s">
        <v>1971</v>
      </c>
      <c r="E2904" s="13">
        <v>1.0</v>
      </c>
      <c r="F2904" s="13"/>
    </row>
    <row r="2905">
      <c r="D2905" s="13"/>
      <c r="E2905" s="13"/>
      <c r="F2905" s="13"/>
    </row>
    <row r="2906">
      <c r="B2906" s="13" t="s">
        <v>811</v>
      </c>
      <c r="C2906" s="13" t="s">
        <v>1972</v>
      </c>
      <c r="D2906" s="13" t="s">
        <v>1077</v>
      </c>
      <c r="E2906" s="13" t="s">
        <v>426</v>
      </c>
      <c r="F2906" s="13">
        <v>20000.0</v>
      </c>
    </row>
    <row r="2907">
      <c r="D2907" s="13"/>
      <c r="E2907" s="13"/>
      <c r="F2907" s="13"/>
    </row>
    <row r="2908">
      <c r="D2908" s="13"/>
      <c r="E2908" s="13"/>
      <c r="F2908" s="13"/>
    </row>
    <row r="2909">
      <c r="D2909" s="13"/>
      <c r="E2909" s="13"/>
      <c r="F2909" s="13"/>
    </row>
    <row r="2910">
      <c r="D2910" s="13"/>
      <c r="E2910" s="13"/>
      <c r="F2910" s="13"/>
    </row>
    <row r="2911">
      <c r="D2911" s="13"/>
      <c r="E2911" s="13"/>
      <c r="F2911" s="13"/>
    </row>
    <row r="2912">
      <c r="D2912" s="13"/>
      <c r="E2912" s="13"/>
      <c r="F2912" s="13"/>
    </row>
    <row r="2913">
      <c r="D2913" s="13"/>
      <c r="E2913" s="13"/>
      <c r="F2913" s="13"/>
    </row>
    <row r="2914">
      <c r="D2914" s="13"/>
      <c r="E2914" s="13"/>
      <c r="F2914" s="13"/>
    </row>
    <row r="2915">
      <c r="D2915" s="13"/>
      <c r="E2915" s="13"/>
      <c r="F2915" s="13"/>
    </row>
    <row r="2916">
      <c r="D2916" s="13"/>
      <c r="E2916" s="13"/>
      <c r="F2916" s="13"/>
    </row>
    <row r="2917">
      <c r="D2917" s="13"/>
      <c r="E2917" s="13"/>
      <c r="F2917" s="13"/>
    </row>
    <row r="2918">
      <c r="D2918" s="13"/>
      <c r="E2918" s="13"/>
      <c r="F2918" s="13"/>
    </row>
    <row r="2919">
      <c r="D2919" s="13"/>
      <c r="E2919" s="13"/>
      <c r="F2919" s="13"/>
    </row>
    <row r="2920">
      <c r="D2920" s="13"/>
      <c r="E2920" s="13"/>
      <c r="F2920" s="13"/>
    </row>
    <row r="2921">
      <c r="A2921" s="109">
        <v>46090.0</v>
      </c>
      <c r="B2921" s="110" t="s">
        <v>1901</v>
      </c>
      <c r="C2921" s="13" t="s">
        <v>1973</v>
      </c>
      <c r="D2921" s="13" t="s">
        <v>1974</v>
      </c>
      <c r="E2921" s="13" t="s">
        <v>434</v>
      </c>
      <c r="F2921" s="13">
        <f>7500*3</f>
        <v>22500</v>
      </c>
    </row>
    <row r="2922">
      <c r="C2922" s="13" t="s">
        <v>811</v>
      </c>
      <c r="D2922" s="13" t="s">
        <v>1674</v>
      </c>
      <c r="E2922" s="13" t="s">
        <v>426</v>
      </c>
      <c r="F2922" s="13">
        <v>18000.0</v>
      </c>
    </row>
    <row r="2923">
      <c r="D2923" s="13" t="s">
        <v>816</v>
      </c>
      <c r="E2923" s="13" t="s">
        <v>426</v>
      </c>
      <c r="F2923" s="13">
        <v>12000.0</v>
      </c>
    </row>
    <row r="2924">
      <c r="D2924" s="13" t="s">
        <v>933</v>
      </c>
      <c r="E2924" s="13" t="s">
        <v>426</v>
      </c>
      <c r="F2924" s="13">
        <v>8700.0</v>
      </c>
    </row>
    <row r="2925">
      <c r="D2925" s="13" t="s">
        <v>512</v>
      </c>
      <c r="E2925" s="13"/>
      <c r="F2925" s="13">
        <v>61200.0</v>
      </c>
    </row>
    <row r="2926">
      <c r="D2926" s="13"/>
      <c r="E2926" s="13"/>
      <c r="F2926" s="13"/>
    </row>
    <row r="2927">
      <c r="B2927" s="103" t="s">
        <v>1801</v>
      </c>
      <c r="C2927" s="103" t="s">
        <v>1975</v>
      </c>
      <c r="D2927" s="13" t="s">
        <v>448</v>
      </c>
      <c r="E2927" s="13" t="s">
        <v>426</v>
      </c>
      <c r="F2927" s="13">
        <v>40200.0</v>
      </c>
    </row>
    <row r="2928">
      <c r="D2928" s="13" t="s">
        <v>602</v>
      </c>
      <c r="E2928" s="13" t="s">
        <v>426</v>
      </c>
      <c r="F2928" s="13">
        <v>12400.0</v>
      </c>
    </row>
    <row r="2929">
      <c r="D2929" s="13" t="s">
        <v>1976</v>
      </c>
      <c r="E2929" s="13" t="s">
        <v>426</v>
      </c>
      <c r="F2929" s="13">
        <v>5000.0</v>
      </c>
    </row>
    <row r="2930">
      <c r="D2930" s="13" t="s">
        <v>1977</v>
      </c>
      <c r="E2930" s="13">
        <v>1.0</v>
      </c>
      <c r="F2930" s="13">
        <v>5000.0</v>
      </c>
    </row>
    <row r="2931">
      <c r="D2931" s="13" t="s">
        <v>1978</v>
      </c>
      <c r="E2931" s="13" t="s">
        <v>426</v>
      </c>
      <c r="F2931" s="13"/>
    </row>
    <row r="2932">
      <c r="D2932" s="13" t="s">
        <v>598</v>
      </c>
      <c r="E2932" s="13" t="s">
        <v>426</v>
      </c>
      <c r="F2932" s="13">
        <v>23000.0</v>
      </c>
    </row>
    <row r="2933">
      <c r="D2933" s="13"/>
      <c r="E2933" s="13"/>
      <c r="F2933" s="13"/>
    </row>
    <row r="2934">
      <c r="D2934" s="13"/>
      <c r="E2934" s="13"/>
      <c r="F2934" s="13"/>
    </row>
    <row r="2935">
      <c r="A2935" s="13" t="s">
        <v>783</v>
      </c>
      <c r="B2935" s="110" t="s">
        <v>1901</v>
      </c>
      <c r="C2935" s="13" t="s">
        <v>825</v>
      </c>
      <c r="D2935" s="13" t="s">
        <v>1979</v>
      </c>
      <c r="E2935" s="13" t="s">
        <v>426</v>
      </c>
      <c r="F2935" s="13">
        <v>17500.0</v>
      </c>
    </row>
    <row r="2936">
      <c r="D2936" s="13" t="s">
        <v>558</v>
      </c>
      <c r="E2936" s="13" t="s">
        <v>429</v>
      </c>
      <c r="F2936" s="13">
        <v>9000.0</v>
      </c>
    </row>
    <row r="2937">
      <c r="D2937" s="13" t="s">
        <v>1980</v>
      </c>
      <c r="E2937" s="13">
        <v>1.0</v>
      </c>
      <c r="F2937" s="13">
        <v>5800.0</v>
      </c>
    </row>
    <row r="2938">
      <c r="C2938" s="13"/>
      <c r="D2938" s="13" t="s">
        <v>1981</v>
      </c>
      <c r="E2938" s="13">
        <v>1.0</v>
      </c>
      <c r="F2938" s="13">
        <v>5500.0</v>
      </c>
    </row>
    <row r="2939">
      <c r="C2939" s="13"/>
      <c r="D2939" s="13" t="s">
        <v>1982</v>
      </c>
      <c r="E2939" s="13">
        <v>6.0</v>
      </c>
      <c r="F2939" s="13">
        <v>7800.0</v>
      </c>
    </row>
    <row r="2940">
      <c r="C2940" s="13"/>
      <c r="D2940" s="13" t="s">
        <v>600</v>
      </c>
      <c r="E2940" s="13" t="s">
        <v>426</v>
      </c>
      <c r="F2940" s="13">
        <v>5800.0</v>
      </c>
    </row>
    <row r="2941">
      <c r="C2941" s="13"/>
      <c r="D2941" s="13" t="s">
        <v>964</v>
      </c>
      <c r="E2941" s="13" t="s">
        <v>426</v>
      </c>
      <c r="F2941" s="13">
        <v>8700.0</v>
      </c>
    </row>
    <row r="2942">
      <c r="C2942" s="13"/>
      <c r="D2942" s="13"/>
      <c r="E2942" s="13"/>
      <c r="F2942" s="13"/>
    </row>
    <row r="2943">
      <c r="C2943" s="13"/>
      <c r="D2943" s="13"/>
      <c r="E2943" s="13"/>
      <c r="F2943" s="13"/>
    </row>
    <row r="2944">
      <c r="A2944" s="13" t="s">
        <v>811</v>
      </c>
      <c r="B2944" s="110" t="s">
        <v>1901</v>
      </c>
      <c r="C2944" s="13" t="s">
        <v>1596</v>
      </c>
      <c r="D2944" s="13" t="s">
        <v>558</v>
      </c>
      <c r="E2944" s="13" t="s">
        <v>429</v>
      </c>
      <c r="F2944" s="13">
        <f>4500*2</f>
        <v>9000</v>
      </c>
    </row>
    <row r="2945">
      <c r="D2945" s="13" t="s">
        <v>607</v>
      </c>
      <c r="E2945" s="13" t="s">
        <v>426</v>
      </c>
      <c r="F2945" s="13">
        <v>9300.0</v>
      </c>
    </row>
    <row r="2946">
      <c r="D2946" s="13"/>
      <c r="E2946" s="13"/>
      <c r="F2946" s="13"/>
    </row>
    <row r="2947">
      <c r="B2947" s="103" t="s">
        <v>1801</v>
      </c>
      <c r="C2947" s="103" t="s">
        <v>560</v>
      </c>
      <c r="D2947" s="13" t="s">
        <v>822</v>
      </c>
      <c r="E2947" s="13" t="s">
        <v>426</v>
      </c>
      <c r="F2947" s="13">
        <v>18500.0</v>
      </c>
    </row>
    <row r="2948">
      <c r="D2948" s="13" t="s">
        <v>1101</v>
      </c>
      <c r="E2948" s="13" t="s">
        <v>426</v>
      </c>
      <c r="F2948" s="13">
        <v>20000.0</v>
      </c>
    </row>
    <row r="2949">
      <c r="D2949" s="13"/>
      <c r="E2949" s="13"/>
      <c r="F2949" s="13"/>
    </row>
    <row r="2950">
      <c r="A2950" s="13" t="s">
        <v>811</v>
      </c>
      <c r="B2950" s="110" t="s">
        <v>1901</v>
      </c>
      <c r="C2950" s="13" t="s">
        <v>1983</v>
      </c>
      <c r="D2950" s="13" t="s">
        <v>558</v>
      </c>
      <c r="E2950" s="13" t="s">
        <v>426</v>
      </c>
      <c r="F2950" s="13">
        <v>4500.0</v>
      </c>
    </row>
    <row r="2951">
      <c r="D2951" s="13" t="s">
        <v>600</v>
      </c>
      <c r="E2951" s="13" t="s">
        <v>426</v>
      </c>
      <c r="F2951" s="13">
        <v>5800.0</v>
      </c>
    </row>
    <row r="2952">
      <c r="D2952" s="13" t="s">
        <v>1984</v>
      </c>
      <c r="E2952" s="13">
        <v>1.0</v>
      </c>
      <c r="F2952" s="13">
        <v>16500.0</v>
      </c>
    </row>
    <row r="2953">
      <c r="D2953" s="13"/>
      <c r="E2953" s="13"/>
      <c r="F2953" s="13"/>
    </row>
    <row r="2954">
      <c r="A2954" s="13" t="s">
        <v>811</v>
      </c>
      <c r="B2954" s="110" t="s">
        <v>1901</v>
      </c>
      <c r="C2954" s="13" t="s">
        <v>1985</v>
      </c>
      <c r="D2954" s="13" t="s">
        <v>908</v>
      </c>
      <c r="E2954" s="13" t="s">
        <v>429</v>
      </c>
      <c r="F2954" s="13">
        <v>16000.0</v>
      </c>
    </row>
    <row r="2955">
      <c r="D2955" s="13" t="s">
        <v>810</v>
      </c>
      <c r="E2955" s="13" t="s">
        <v>426</v>
      </c>
      <c r="F2955" s="13">
        <v>20000.0</v>
      </c>
    </row>
    <row r="2956">
      <c r="D2956" s="13" t="s">
        <v>1290</v>
      </c>
      <c r="E2956" s="13" t="s">
        <v>426</v>
      </c>
      <c r="F2956" s="13">
        <v>18500.0</v>
      </c>
    </row>
    <row r="2957">
      <c r="B2957" s="14"/>
      <c r="C2957" s="13"/>
      <c r="D2957" s="13" t="s">
        <v>659</v>
      </c>
      <c r="E2957" s="13" t="s">
        <v>426</v>
      </c>
      <c r="F2957" s="13">
        <v>4100.0</v>
      </c>
    </row>
    <row r="2958">
      <c r="B2958" s="14"/>
      <c r="C2958" s="13"/>
      <c r="D2958" s="13"/>
      <c r="E2958" s="13"/>
      <c r="F2958" s="13"/>
    </row>
    <row r="2959">
      <c r="A2959" s="13" t="s">
        <v>811</v>
      </c>
      <c r="B2959" s="110" t="s">
        <v>1901</v>
      </c>
      <c r="C2959" s="13" t="s">
        <v>1986</v>
      </c>
      <c r="D2959" s="13" t="s">
        <v>1987</v>
      </c>
      <c r="E2959" s="13" t="s">
        <v>426</v>
      </c>
      <c r="F2959" s="13"/>
    </row>
    <row r="2960">
      <c r="D2960" s="13"/>
      <c r="E2960" s="13"/>
      <c r="F2960" s="13"/>
    </row>
    <row r="2961">
      <c r="D2961" s="13"/>
      <c r="E2961" s="13"/>
      <c r="F2961" s="13"/>
    </row>
    <row r="2962">
      <c r="A2962" s="13" t="s">
        <v>811</v>
      </c>
      <c r="C2962" s="13" t="s">
        <v>1138</v>
      </c>
      <c r="D2962" s="13" t="s">
        <v>558</v>
      </c>
      <c r="E2962" s="13" t="s">
        <v>1619</v>
      </c>
      <c r="F2962" s="13">
        <f>4500*6</f>
        <v>27000</v>
      </c>
    </row>
    <row r="2963">
      <c r="D2963" s="13" t="s">
        <v>1988</v>
      </c>
      <c r="E2963" s="13">
        <v>1.0</v>
      </c>
      <c r="F2963" s="13">
        <v>5000.0</v>
      </c>
    </row>
    <row r="2964">
      <c r="D2964" s="13" t="s">
        <v>1333</v>
      </c>
      <c r="E2964" s="13" t="s">
        <v>426</v>
      </c>
      <c r="F2964" s="13">
        <v>3000.0</v>
      </c>
    </row>
    <row r="2965">
      <c r="D2965" s="13" t="s">
        <v>1101</v>
      </c>
      <c r="E2965" s="13" t="s">
        <v>426</v>
      </c>
      <c r="F2965" s="13">
        <v>20000.0</v>
      </c>
    </row>
    <row r="2966">
      <c r="D2966" s="13" t="s">
        <v>1989</v>
      </c>
      <c r="E2966" s="13">
        <v>4.0</v>
      </c>
      <c r="F2966" s="13"/>
    </row>
    <row r="2967">
      <c r="D2967" s="13"/>
      <c r="E2967" s="13"/>
      <c r="F2967" s="13"/>
    </row>
    <row r="2968">
      <c r="D2968" s="13"/>
      <c r="E2968" s="13"/>
      <c r="F2968" s="13"/>
    </row>
    <row r="2969">
      <c r="B2969" s="14"/>
      <c r="C2969" s="14"/>
      <c r="F2969" s="13"/>
    </row>
    <row r="2970">
      <c r="D2970" s="13"/>
      <c r="E2970" s="13"/>
      <c r="F2970" s="13"/>
    </row>
    <row r="2971">
      <c r="A2971" s="13" t="s">
        <v>808</v>
      </c>
      <c r="B2971" s="103" t="s">
        <v>1801</v>
      </c>
      <c r="C2971" s="103" t="s">
        <v>501</v>
      </c>
      <c r="D2971" s="13" t="s">
        <v>1666</v>
      </c>
      <c r="E2971" s="13" t="s">
        <v>426</v>
      </c>
      <c r="F2971" s="13">
        <v>8200.0</v>
      </c>
    </row>
    <row r="2972">
      <c r="D2972" s="13" t="s">
        <v>1336</v>
      </c>
      <c r="E2972" s="13" t="s">
        <v>426</v>
      </c>
      <c r="F2972" s="13">
        <v>7500.0</v>
      </c>
    </row>
    <row r="2973">
      <c r="D2973" s="13" t="s">
        <v>1990</v>
      </c>
      <c r="E2973" s="13" t="s">
        <v>426</v>
      </c>
      <c r="F2973" s="13">
        <v>7500.0</v>
      </c>
    </row>
    <row r="2974">
      <c r="D2974" s="13"/>
      <c r="E2974" s="13"/>
      <c r="F2974" s="13"/>
    </row>
    <row r="2975">
      <c r="D2975" s="13"/>
      <c r="E2975" s="13"/>
      <c r="F2975" s="13"/>
    </row>
    <row r="2976">
      <c r="A2976" s="13" t="s">
        <v>521</v>
      </c>
      <c r="B2976" s="110" t="s">
        <v>1901</v>
      </c>
      <c r="C2976" s="13" t="s">
        <v>1991</v>
      </c>
      <c r="D2976" s="13" t="s">
        <v>911</v>
      </c>
      <c r="E2976" s="13" t="s">
        <v>426</v>
      </c>
      <c r="F2976" s="13">
        <v>12000.0</v>
      </c>
    </row>
    <row r="2977">
      <c r="D2977" s="13" t="s">
        <v>823</v>
      </c>
      <c r="E2977" s="13" t="s">
        <v>426</v>
      </c>
      <c r="F2977" s="13">
        <v>3000.0</v>
      </c>
    </row>
    <row r="2978">
      <c r="D2978" s="13" t="s">
        <v>586</v>
      </c>
      <c r="E2978" s="13" t="s">
        <v>426</v>
      </c>
      <c r="F2978" s="13">
        <v>8700.0</v>
      </c>
    </row>
    <row r="2979">
      <c r="D2979" s="13" t="s">
        <v>908</v>
      </c>
      <c r="E2979" s="13" t="s">
        <v>426</v>
      </c>
      <c r="F2979" s="13">
        <v>8000.0</v>
      </c>
    </row>
    <row r="2980">
      <c r="D2980" s="13" t="s">
        <v>583</v>
      </c>
      <c r="E2980" s="13" t="s">
        <v>426</v>
      </c>
      <c r="F2980" s="13">
        <v>5800.0</v>
      </c>
    </row>
    <row r="2981">
      <c r="D2981" s="13" t="s">
        <v>1522</v>
      </c>
      <c r="E2981" s="13">
        <v>1.0</v>
      </c>
      <c r="F2981" s="13"/>
    </row>
    <row r="2982">
      <c r="D2982" s="13" t="s">
        <v>1957</v>
      </c>
      <c r="E2982" s="13">
        <v>1.0</v>
      </c>
      <c r="F2982" s="13">
        <v>6300.0</v>
      </c>
    </row>
    <row r="2983">
      <c r="D2983" s="13" t="s">
        <v>1992</v>
      </c>
      <c r="E2983" s="13" t="s">
        <v>426</v>
      </c>
      <c r="F2983" s="13">
        <v>3200.0</v>
      </c>
    </row>
    <row r="2984">
      <c r="D2984" s="13" t="s">
        <v>1993</v>
      </c>
      <c r="E2984" s="13" t="s">
        <v>426</v>
      </c>
      <c r="F2984" s="13">
        <v>3000.0</v>
      </c>
    </row>
    <row r="2985">
      <c r="D2985" s="13"/>
      <c r="E2985" s="13"/>
      <c r="F2985" s="13"/>
    </row>
    <row r="2986">
      <c r="D2986" s="13"/>
      <c r="E2986" s="13"/>
      <c r="F2986" s="13"/>
    </row>
    <row r="2987">
      <c r="A2987" s="13" t="s">
        <v>757</v>
      </c>
      <c r="B2987" s="103" t="s">
        <v>1841</v>
      </c>
      <c r="C2987" s="103" t="s">
        <v>1994</v>
      </c>
      <c r="D2987" s="13" t="s">
        <v>1995</v>
      </c>
      <c r="E2987" s="13" t="s">
        <v>426</v>
      </c>
      <c r="F2987" s="13">
        <v>23000.0</v>
      </c>
    </row>
    <row r="2988">
      <c r="D2988" s="13" t="s">
        <v>911</v>
      </c>
      <c r="E2988" s="13" t="s">
        <v>1996</v>
      </c>
      <c r="F2988" s="13">
        <v>12000.0</v>
      </c>
    </row>
    <row r="2990">
      <c r="D2990" s="13"/>
      <c r="E2990" s="13"/>
      <c r="F2990" s="13"/>
    </row>
    <row r="2991">
      <c r="B2991" s="103" t="s">
        <v>1874</v>
      </c>
      <c r="C2991" s="103" t="s">
        <v>643</v>
      </c>
      <c r="D2991" s="13" t="s">
        <v>551</v>
      </c>
      <c r="E2991" s="13" t="s">
        <v>426</v>
      </c>
      <c r="F2991" s="13"/>
    </row>
    <row r="2992">
      <c r="D2992" s="13" t="s">
        <v>1997</v>
      </c>
      <c r="E2992" s="13" t="s">
        <v>426</v>
      </c>
      <c r="F2992" s="13"/>
    </row>
    <row r="2993">
      <c r="D2993" s="13" t="s">
        <v>1893</v>
      </c>
      <c r="E2993" s="13">
        <v>1.0</v>
      </c>
      <c r="F2993" s="13"/>
    </row>
    <row r="2994">
      <c r="D2994" s="13" t="s">
        <v>1998</v>
      </c>
      <c r="E2994" s="13">
        <v>6.0</v>
      </c>
      <c r="F2994" s="13"/>
    </row>
    <row r="2995">
      <c r="D2995" s="13" t="s">
        <v>548</v>
      </c>
      <c r="E2995" s="13" t="s">
        <v>1045</v>
      </c>
      <c r="F2995" s="13"/>
    </row>
    <row r="2996">
      <c r="D2996" s="13"/>
      <c r="E2996" s="13"/>
      <c r="F2996" s="13"/>
    </row>
    <row r="2997">
      <c r="D2997" s="13"/>
      <c r="E2997" s="13"/>
      <c r="F2997" s="13"/>
    </row>
    <row r="2998">
      <c r="C2998" s="13" t="s">
        <v>1999</v>
      </c>
      <c r="D2998" s="13" t="s">
        <v>1067</v>
      </c>
      <c r="E2998" s="13">
        <v>1.0</v>
      </c>
      <c r="F2998" s="13"/>
    </row>
    <row r="2999">
      <c r="D2999" s="13"/>
      <c r="E2999" s="13"/>
      <c r="F2999" s="13"/>
    </row>
    <row r="3000">
      <c r="D3000" s="13"/>
      <c r="E3000" s="13"/>
      <c r="F3000" s="13"/>
    </row>
    <row r="3001">
      <c r="A3001" s="13" t="s">
        <v>811</v>
      </c>
      <c r="C3001" s="13" t="s">
        <v>2000</v>
      </c>
      <c r="D3001" s="13" t="s">
        <v>551</v>
      </c>
      <c r="E3001" s="13" t="s">
        <v>429</v>
      </c>
      <c r="F3001" s="13"/>
    </row>
    <row r="3002">
      <c r="D3002" s="13"/>
      <c r="E3002" s="13"/>
      <c r="F3002" s="13"/>
    </row>
    <row r="3003">
      <c r="A3003" s="13" t="s">
        <v>757</v>
      </c>
      <c r="B3003" s="103" t="s">
        <v>2001</v>
      </c>
      <c r="C3003" s="103" t="s">
        <v>2002</v>
      </c>
      <c r="D3003" s="13" t="s">
        <v>1159</v>
      </c>
      <c r="E3003" s="13" t="s">
        <v>426</v>
      </c>
      <c r="F3003" s="13">
        <v>20000.0</v>
      </c>
    </row>
    <row r="3004">
      <c r="D3004" s="13"/>
      <c r="E3004" s="13"/>
      <c r="F3004" s="13"/>
    </row>
    <row r="3005">
      <c r="A3005" s="13" t="s">
        <v>757</v>
      </c>
      <c r="B3005" s="103" t="s">
        <v>1874</v>
      </c>
      <c r="C3005" s="103" t="s">
        <v>2003</v>
      </c>
      <c r="D3005" s="13" t="s">
        <v>1192</v>
      </c>
      <c r="E3005" s="13" t="s">
        <v>426</v>
      </c>
      <c r="F3005" s="13">
        <v>8000.0</v>
      </c>
    </row>
    <row r="3006">
      <c r="D3006" s="13"/>
      <c r="E3006" s="13"/>
      <c r="F3006" s="13"/>
    </row>
    <row r="3007">
      <c r="D3007" s="13"/>
      <c r="E3007" s="13"/>
      <c r="F3007" s="13"/>
    </row>
    <row r="3008">
      <c r="D3008" s="13"/>
      <c r="E3008" s="13"/>
      <c r="F3008" s="13"/>
    </row>
    <row r="3009">
      <c r="D3009" s="13"/>
      <c r="E3009" s="13"/>
      <c r="F3009" s="13"/>
    </row>
    <row r="3010">
      <c r="A3010" s="78">
        <v>46096.0</v>
      </c>
      <c r="B3010" s="103" t="s">
        <v>1874</v>
      </c>
      <c r="C3010" s="103" t="s">
        <v>1431</v>
      </c>
      <c r="D3010" s="13" t="s">
        <v>1425</v>
      </c>
      <c r="E3010" s="13" t="s">
        <v>426</v>
      </c>
      <c r="F3010" s="13">
        <v>8700.0</v>
      </c>
      <c r="G3010" s="13">
        <v>8700.0</v>
      </c>
    </row>
    <row r="3011">
      <c r="C3011" s="13" t="s">
        <v>808</v>
      </c>
      <c r="D3011" s="13" t="s">
        <v>2004</v>
      </c>
      <c r="E3011" s="13" t="s">
        <v>426</v>
      </c>
      <c r="F3011" s="13">
        <v>4100.0</v>
      </c>
      <c r="G3011" s="13">
        <v>4100.0</v>
      </c>
    </row>
    <row r="3012">
      <c r="D3012" s="13" t="s">
        <v>937</v>
      </c>
      <c r="E3012" s="13" t="s">
        <v>426</v>
      </c>
      <c r="F3012" s="13">
        <v>5800.0</v>
      </c>
      <c r="G3012" s="13">
        <v>5800.0</v>
      </c>
    </row>
    <row r="3013">
      <c r="D3013" s="13" t="s">
        <v>2005</v>
      </c>
      <c r="E3013" s="13" t="s">
        <v>426</v>
      </c>
      <c r="F3013" s="13">
        <v>5000.0</v>
      </c>
      <c r="G3013" s="13">
        <v>5000.0</v>
      </c>
    </row>
    <row r="3014">
      <c r="D3014" s="13"/>
      <c r="E3014" s="13"/>
      <c r="F3014" s="13"/>
    </row>
    <row r="3015">
      <c r="D3015" s="13"/>
      <c r="E3015" s="13"/>
      <c r="F3015" s="13"/>
    </row>
    <row r="3016">
      <c r="A3016" s="13" t="s">
        <v>808</v>
      </c>
      <c r="B3016" s="103" t="s">
        <v>1874</v>
      </c>
      <c r="C3016" s="103" t="s">
        <v>482</v>
      </c>
      <c r="D3016" s="13" t="s">
        <v>924</v>
      </c>
      <c r="E3016" s="13" t="s">
        <v>429</v>
      </c>
      <c r="F3016" s="13">
        <v>4500.0</v>
      </c>
      <c r="G3016" s="13">
        <v>9000.0</v>
      </c>
    </row>
    <row r="3017">
      <c r="D3017" s="13" t="s">
        <v>732</v>
      </c>
      <c r="E3017" s="13" t="s">
        <v>426</v>
      </c>
      <c r="F3017" s="13">
        <v>12000.0</v>
      </c>
      <c r="G3017" s="13">
        <v>12000.0</v>
      </c>
    </row>
    <row r="3018">
      <c r="D3018" s="13"/>
      <c r="E3018" s="13"/>
      <c r="F3018" s="13"/>
    </row>
    <row r="3019">
      <c r="D3019" s="13"/>
      <c r="E3019" s="13"/>
      <c r="F3019" s="13"/>
    </row>
    <row r="3020">
      <c r="A3020" s="13" t="s">
        <v>808</v>
      </c>
      <c r="B3020" s="103" t="s">
        <v>1801</v>
      </c>
      <c r="C3020" s="103" t="s">
        <v>2006</v>
      </c>
      <c r="D3020" s="13" t="s">
        <v>570</v>
      </c>
      <c r="E3020" s="13" t="s">
        <v>426</v>
      </c>
      <c r="F3020" s="13">
        <v>15600.0</v>
      </c>
    </row>
    <row r="3021">
      <c r="D3021" s="13" t="s">
        <v>2007</v>
      </c>
      <c r="E3021" s="13">
        <v>2.0</v>
      </c>
      <c r="F3021" s="13">
        <v>5200.0</v>
      </c>
    </row>
    <row r="3022">
      <c r="D3022" s="13"/>
      <c r="E3022" s="13"/>
      <c r="F3022" s="13"/>
    </row>
    <row r="3023">
      <c r="A3023" s="13" t="s">
        <v>2008</v>
      </c>
      <c r="B3023" s="103" t="s">
        <v>1801</v>
      </c>
      <c r="C3023" s="103" t="s">
        <v>1109</v>
      </c>
      <c r="D3023" s="13" t="s">
        <v>1192</v>
      </c>
      <c r="E3023" s="13" t="s">
        <v>426</v>
      </c>
      <c r="F3023" s="13">
        <v>11000.0</v>
      </c>
    </row>
    <row r="3024">
      <c r="D3024" s="13" t="s">
        <v>630</v>
      </c>
      <c r="E3024" s="13" t="s">
        <v>426</v>
      </c>
      <c r="F3024" s="13">
        <v>7500.0</v>
      </c>
    </row>
    <row r="3025">
      <c r="D3025" s="13" t="s">
        <v>1344</v>
      </c>
      <c r="E3025" s="13">
        <v>1.0</v>
      </c>
      <c r="F3025" s="13">
        <v>7200.0</v>
      </c>
    </row>
    <row r="3026">
      <c r="D3026" s="13"/>
      <c r="E3026" s="13"/>
      <c r="F3026" s="13"/>
    </row>
    <row r="3027">
      <c r="A3027" s="13" t="s">
        <v>1095</v>
      </c>
      <c r="B3027" s="103" t="s">
        <v>1874</v>
      </c>
      <c r="C3027" s="103" t="s">
        <v>1575</v>
      </c>
      <c r="D3027" s="13" t="s">
        <v>1666</v>
      </c>
      <c r="E3027" s="13" t="s">
        <v>426</v>
      </c>
      <c r="F3027" s="13">
        <v>8200.0</v>
      </c>
    </row>
    <row r="3028">
      <c r="D3028" s="13" t="s">
        <v>2009</v>
      </c>
      <c r="E3028" s="13" t="s">
        <v>727</v>
      </c>
      <c r="F3028" s="13">
        <v>5500.0</v>
      </c>
    </row>
    <row r="3029">
      <c r="D3029" s="13"/>
      <c r="E3029" s="13"/>
      <c r="F3029" s="13"/>
    </row>
    <row r="3030">
      <c r="D3030" s="13"/>
      <c r="E3030" s="13"/>
      <c r="F3030" s="13"/>
    </row>
    <row r="3031">
      <c r="A3031" s="13" t="s">
        <v>811</v>
      </c>
      <c r="B3031" s="13" t="s">
        <v>1901</v>
      </c>
      <c r="C3031" s="13" t="s">
        <v>2010</v>
      </c>
      <c r="D3031" s="13" t="s">
        <v>2011</v>
      </c>
      <c r="E3031" s="13" t="s">
        <v>426</v>
      </c>
      <c r="F3031" s="13">
        <v>20000.0</v>
      </c>
    </row>
    <row r="3032">
      <c r="D3032" s="13"/>
      <c r="E3032" s="13"/>
      <c r="F3032" s="13"/>
    </row>
    <row r="3033">
      <c r="D3033" s="13"/>
      <c r="E3033" s="13"/>
      <c r="F3033" s="13"/>
    </row>
    <row r="3034">
      <c r="A3034" s="13" t="s">
        <v>811</v>
      </c>
      <c r="B3034" s="13" t="s">
        <v>1901</v>
      </c>
      <c r="C3034" s="13" t="s">
        <v>2012</v>
      </c>
      <c r="D3034" s="13" t="s">
        <v>2013</v>
      </c>
      <c r="E3034" s="13">
        <v>1.0</v>
      </c>
      <c r="F3034" s="13"/>
    </row>
    <row r="3035">
      <c r="D3035" s="13"/>
      <c r="E3035" s="13"/>
      <c r="F3035" s="13"/>
    </row>
    <row r="3036">
      <c r="D3036" s="13"/>
      <c r="E3036" s="13"/>
      <c r="F3036" s="13"/>
    </row>
    <row r="3037">
      <c r="A3037" s="13" t="s">
        <v>811</v>
      </c>
      <c r="B3037" s="13" t="s">
        <v>1901</v>
      </c>
      <c r="C3037" s="13" t="s">
        <v>741</v>
      </c>
      <c r="D3037" s="13" t="s">
        <v>577</v>
      </c>
      <c r="E3037" s="13" t="s">
        <v>429</v>
      </c>
      <c r="F3037" s="13">
        <v>46000.0</v>
      </c>
    </row>
    <row r="3038">
      <c r="D3038" s="13" t="s">
        <v>2014</v>
      </c>
      <c r="E3038" s="13" t="s">
        <v>426</v>
      </c>
      <c r="F3038" s="13">
        <v>1900.0</v>
      </c>
    </row>
    <row r="3039">
      <c r="D3039" s="13"/>
      <c r="E3039" s="13"/>
      <c r="F3039" s="13"/>
    </row>
    <row r="3040">
      <c r="D3040" s="13"/>
      <c r="E3040" s="13"/>
      <c r="F3040" s="13"/>
    </row>
    <row r="3041">
      <c r="A3041" s="13" t="s">
        <v>808</v>
      </c>
      <c r="B3041" s="103" t="s">
        <v>2015</v>
      </c>
      <c r="C3041" s="103" t="s">
        <v>2016</v>
      </c>
      <c r="D3041" s="13" t="s">
        <v>951</v>
      </c>
      <c r="E3041" s="13" t="s">
        <v>429</v>
      </c>
      <c r="F3041" s="13">
        <v>40200.0</v>
      </c>
      <c r="G3041" s="13">
        <v>80400.0</v>
      </c>
    </row>
    <row r="3042">
      <c r="D3042" s="13"/>
      <c r="E3042" s="13"/>
      <c r="F3042" s="13"/>
    </row>
    <row r="3043">
      <c r="D3043" s="13"/>
      <c r="E3043" s="13"/>
      <c r="F3043" s="13"/>
    </row>
    <row r="3044">
      <c r="A3044" s="13" t="s">
        <v>811</v>
      </c>
      <c r="B3044" s="13" t="s">
        <v>1901</v>
      </c>
      <c r="C3044" s="13" t="s">
        <v>825</v>
      </c>
      <c r="D3044" s="13" t="s">
        <v>558</v>
      </c>
      <c r="E3044" s="13" t="s">
        <v>426</v>
      </c>
      <c r="F3044" s="13">
        <v>4600.0</v>
      </c>
    </row>
    <row r="3045">
      <c r="D3045" s="13" t="s">
        <v>600</v>
      </c>
      <c r="E3045" s="13" t="s">
        <v>426</v>
      </c>
      <c r="F3045" s="13">
        <v>5800.0</v>
      </c>
    </row>
    <row r="3046">
      <c r="D3046" s="13" t="s">
        <v>822</v>
      </c>
      <c r="E3046" s="13" t="s">
        <v>426</v>
      </c>
      <c r="F3046" s="13">
        <v>20500.0</v>
      </c>
    </row>
    <row r="3047">
      <c r="D3047" s="13"/>
      <c r="E3047" s="13"/>
      <c r="F3047" s="13"/>
    </row>
    <row r="3048">
      <c r="D3048" s="13"/>
      <c r="E3048" s="13"/>
      <c r="F3048" s="13"/>
    </row>
    <row r="3049">
      <c r="A3049" s="13" t="s">
        <v>811</v>
      </c>
      <c r="B3049" s="13" t="s">
        <v>1901</v>
      </c>
      <c r="C3049" s="13" t="s">
        <v>2017</v>
      </c>
      <c r="D3049" s="13" t="s">
        <v>551</v>
      </c>
      <c r="E3049" s="13" t="s">
        <v>426</v>
      </c>
      <c r="F3049" s="13">
        <v>23000.0</v>
      </c>
    </row>
    <row r="3050">
      <c r="D3050" s="13" t="s">
        <v>863</v>
      </c>
      <c r="E3050" s="13" t="s">
        <v>426</v>
      </c>
      <c r="F3050" s="13">
        <v>8200.0</v>
      </c>
    </row>
    <row r="3051">
      <c r="D3051" s="13"/>
      <c r="E3051" s="13"/>
      <c r="F3051" s="13"/>
    </row>
    <row r="3052">
      <c r="D3052" s="13"/>
      <c r="E3052" s="13"/>
      <c r="F3052" s="13"/>
    </row>
    <row r="3053">
      <c r="B3053" s="103" t="s">
        <v>1801</v>
      </c>
      <c r="C3053" s="103" t="s">
        <v>2018</v>
      </c>
      <c r="D3053" s="13" t="s">
        <v>2019</v>
      </c>
      <c r="E3053" s="13">
        <v>1.0</v>
      </c>
      <c r="F3053" s="13"/>
    </row>
    <row r="3054">
      <c r="D3054" s="13"/>
      <c r="E3054" s="13"/>
      <c r="F3054" s="13"/>
    </row>
    <row r="3055">
      <c r="A3055" s="13" t="s">
        <v>1558</v>
      </c>
      <c r="C3055" s="13" t="s">
        <v>720</v>
      </c>
      <c r="D3055" s="13" t="s">
        <v>1857</v>
      </c>
      <c r="E3055" s="13">
        <v>1.0</v>
      </c>
      <c r="F3055" s="13">
        <v>3530.0</v>
      </c>
    </row>
    <row r="3056">
      <c r="D3056" s="13" t="s">
        <v>810</v>
      </c>
      <c r="E3056" s="13" t="s">
        <v>426</v>
      </c>
      <c r="F3056" s="13">
        <v>16500.0</v>
      </c>
    </row>
    <row r="3057">
      <c r="D3057" s="13" t="s">
        <v>1101</v>
      </c>
      <c r="E3057" s="13" t="s">
        <v>426</v>
      </c>
      <c r="F3057" s="13">
        <v>16000.0</v>
      </c>
    </row>
    <row r="3058">
      <c r="D3058" s="13" t="s">
        <v>2020</v>
      </c>
      <c r="E3058" s="13" t="s">
        <v>814</v>
      </c>
      <c r="F3058" s="13">
        <v>10500.0</v>
      </c>
    </row>
    <row r="3059">
      <c r="D3059" s="13"/>
      <c r="E3059" s="13"/>
      <c r="F3059" s="13"/>
    </row>
    <row r="3060">
      <c r="A3060" s="13" t="s">
        <v>808</v>
      </c>
      <c r="B3060" s="103" t="s">
        <v>1801</v>
      </c>
      <c r="C3060" s="103" t="s">
        <v>2021</v>
      </c>
      <c r="D3060" s="13" t="s">
        <v>2022</v>
      </c>
      <c r="E3060" s="13" t="s">
        <v>765</v>
      </c>
      <c r="F3060" s="13">
        <v>18000.0</v>
      </c>
    </row>
    <row r="3061">
      <c r="D3061" s="13"/>
      <c r="E3061" s="13"/>
      <c r="F3061" s="13"/>
    </row>
    <row r="3062">
      <c r="A3062" s="13" t="s">
        <v>2023</v>
      </c>
      <c r="B3062" s="103" t="s">
        <v>1801</v>
      </c>
      <c r="C3062" s="103" t="s">
        <v>1576</v>
      </c>
      <c r="D3062" s="13" t="s">
        <v>1192</v>
      </c>
      <c r="E3062" s="13" t="s">
        <v>426</v>
      </c>
      <c r="F3062" s="13">
        <v>11000.0</v>
      </c>
    </row>
    <row r="3063">
      <c r="D3063" s="13"/>
      <c r="E3063" s="13"/>
      <c r="F3063" s="13"/>
    </row>
    <row r="3064">
      <c r="A3064" s="87">
        <v>46103.0</v>
      </c>
      <c r="D3064" s="13"/>
      <c r="E3064" s="13"/>
      <c r="F3064" s="13"/>
    </row>
    <row r="3065">
      <c r="A3065" s="13" t="s">
        <v>808</v>
      </c>
      <c r="B3065" s="103" t="s">
        <v>1801</v>
      </c>
      <c r="C3065" s="103" t="s">
        <v>2024</v>
      </c>
      <c r="D3065" s="13" t="s">
        <v>885</v>
      </c>
      <c r="E3065" s="13" t="s">
        <v>426</v>
      </c>
      <c r="F3065" s="13">
        <v>20500.0</v>
      </c>
    </row>
    <row r="3066">
      <c r="D3066" s="13" t="s">
        <v>1053</v>
      </c>
      <c r="E3066" s="13" t="s">
        <v>426</v>
      </c>
      <c r="F3066" s="13">
        <v>23000.0</v>
      </c>
    </row>
    <row r="3067">
      <c r="D3067" s="13" t="s">
        <v>630</v>
      </c>
      <c r="E3067" s="13" t="s">
        <v>727</v>
      </c>
      <c r="F3067" s="13">
        <v>4500.0</v>
      </c>
    </row>
    <row r="3068">
      <c r="D3068" s="13"/>
      <c r="E3068" s="13"/>
      <c r="F3068" s="13"/>
    </row>
    <row r="3069">
      <c r="D3069" s="13"/>
      <c r="E3069" s="13"/>
      <c r="F3069" s="13"/>
    </row>
    <row r="3070">
      <c r="A3070" s="13" t="s">
        <v>808</v>
      </c>
      <c r="B3070" s="103" t="s">
        <v>1801</v>
      </c>
      <c r="C3070" s="103" t="s">
        <v>1695</v>
      </c>
      <c r="D3070" s="13" t="s">
        <v>1053</v>
      </c>
      <c r="E3070" s="13" t="s">
        <v>426</v>
      </c>
      <c r="F3070" s="13"/>
    </row>
    <row r="3071">
      <c r="D3071" s="13" t="s">
        <v>924</v>
      </c>
      <c r="E3071" s="13" t="s">
        <v>426</v>
      </c>
      <c r="F3071" s="13"/>
    </row>
    <row r="3072">
      <c r="D3072" s="13"/>
      <c r="E3072" s="13"/>
      <c r="F3072" s="13"/>
    </row>
    <row r="3073">
      <c r="D3073" s="13"/>
      <c r="E3073" s="13"/>
      <c r="F3073" s="13"/>
    </row>
    <row r="3074">
      <c r="A3074" s="13" t="s">
        <v>1737</v>
      </c>
      <c r="B3074" s="103" t="s">
        <v>1801</v>
      </c>
      <c r="C3074" s="103" t="s">
        <v>2025</v>
      </c>
      <c r="D3074" s="13" t="s">
        <v>2026</v>
      </c>
      <c r="E3074" s="13">
        <v>1.0</v>
      </c>
      <c r="F3074" s="13">
        <v>10000.0</v>
      </c>
    </row>
    <row r="3075">
      <c r="D3075" s="13" t="s">
        <v>2005</v>
      </c>
      <c r="E3075" s="13" t="s">
        <v>429</v>
      </c>
      <c r="F3075" s="13">
        <v>10000.0</v>
      </c>
    </row>
    <row r="3076">
      <c r="D3076" s="13" t="s">
        <v>1281</v>
      </c>
      <c r="E3076" s="13" t="s">
        <v>1837</v>
      </c>
      <c r="F3076" s="13">
        <v>4500.0</v>
      </c>
    </row>
    <row r="3077">
      <c r="B3077" s="14"/>
      <c r="C3077" s="14"/>
      <c r="D3077" s="13" t="s">
        <v>584</v>
      </c>
      <c r="E3077" s="13">
        <v>1.0</v>
      </c>
      <c r="F3077" s="13">
        <v>2600.0</v>
      </c>
    </row>
    <row r="3078">
      <c r="A3078" s="13" t="s">
        <v>808</v>
      </c>
      <c r="B3078" s="103" t="s">
        <v>1874</v>
      </c>
      <c r="C3078" s="103" t="s">
        <v>1830</v>
      </c>
      <c r="D3078" s="13" t="s">
        <v>446</v>
      </c>
      <c r="E3078" s="13" t="s">
        <v>426</v>
      </c>
      <c r="F3078" s="13">
        <v>4000.0</v>
      </c>
    </row>
    <row r="3079">
      <c r="D3079" s="13" t="s">
        <v>438</v>
      </c>
      <c r="E3079" s="13" t="s">
        <v>426</v>
      </c>
      <c r="F3079" s="13">
        <v>5800.0</v>
      </c>
    </row>
    <row r="3080">
      <c r="D3080" s="13" t="s">
        <v>758</v>
      </c>
      <c r="E3080" s="13" t="s">
        <v>426</v>
      </c>
      <c r="F3080" s="13">
        <v>4600.0</v>
      </c>
    </row>
    <row r="3081">
      <c r="B3081" s="13"/>
      <c r="C3081" s="13"/>
      <c r="F3081" s="13"/>
    </row>
    <row r="3082">
      <c r="F3082" s="13"/>
    </row>
    <row r="3083">
      <c r="D3083" s="13"/>
      <c r="E3083" s="13"/>
      <c r="F3083" s="13"/>
    </row>
    <row r="3084">
      <c r="B3084" s="103" t="s">
        <v>1950</v>
      </c>
      <c r="C3084" s="103" t="s">
        <v>1649</v>
      </c>
      <c r="D3084" s="13" t="s">
        <v>944</v>
      </c>
      <c r="E3084" s="13"/>
      <c r="F3084" s="13"/>
    </row>
    <row r="3085">
      <c r="D3085" s="13" t="s">
        <v>881</v>
      </c>
      <c r="E3085" s="13"/>
      <c r="F3085" s="13"/>
    </row>
    <row r="3086">
      <c r="D3086" s="13"/>
      <c r="E3086" s="13"/>
      <c r="F3086" s="13"/>
    </row>
    <row r="3087">
      <c r="B3087" s="14"/>
      <c r="C3087" s="14"/>
      <c r="F3087" s="13"/>
    </row>
    <row r="3088">
      <c r="A3088" s="13" t="s">
        <v>1737</v>
      </c>
      <c r="C3088" s="13" t="s">
        <v>497</v>
      </c>
      <c r="D3088" s="13" t="s">
        <v>2027</v>
      </c>
      <c r="E3088" s="13" t="s">
        <v>426</v>
      </c>
      <c r="F3088" s="13">
        <v>19500.0</v>
      </c>
    </row>
    <row r="3089">
      <c r="D3089" s="13" t="s">
        <v>1717</v>
      </c>
      <c r="E3089" s="13" t="s">
        <v>426</v>
      </c>
      <c r="F3089" s="13">
        <v>8200.0</v>
      </c>
    </row>
    <row r="3090">
      <c r="F3090" s="13"/>
    </row>
    <row r="3091">
      <c r="D3091" s="13"/>
      <c r="E3091" s="13"/>
      <c r="F3091" s="13"/>
    </row>
    <row r="3092">
      <c r="A3092" s="13" t="s">
        <v>1737</v>
      </c>
      <c r="C3092" s="13" t="s">
        <v>2028</v>
      </c>
      <c r="D3092" s="13" t="s">
        <v>1739</v>
      </c>
      <c r="E3092" s="13">
        <v>6.0</v>
      </c>
      <c r="F3092" s="13">
        <f>2600*6</f>
        <v>15600</v>
      </c>
    </row>
    <row r="3093">
      <c r="D3093" s="13" t="s">
        <v>669</v>
      </c>
      <c r="E3093" s="13" t="s">
        <v>426</v>
      </c>
      <c r="F3093" s="13">
        <v>20500.0</v>
      </c>
    </row>
    <row r="3094">
      <c r="D3094" s="13" t="s">
        <v>590</v>
      </c>
      <c r="E3094" s="13" t="s">
        <v>426</v>
      </c>
      <c r="F3094" s="13">
        <v>3000.0</v>
      </c>
    </row>
    <row r="3095">
      <c r="D3095" s="13" t="s">
        <v>1101</v>
      </c>
      <c r="E3095" s="13" t="s">
        <v>426</v>
      </c>
      <c r="F3095" s="13">
        <v>19500.0</v>
      </c>
    </row>
    <row r="3096">
      <c r="D3096" s="13" t="s">
        <v>2029</v>
      </c>
      <c r="E3096" s="13" t="s">
        <v>426</v>
      </c>
      <c r="F3096" s="13">
        <v>18000.0</v>
      </c>
    </row>
    <row r="3097">
      <c r="D3097" s="13" t="s">
        <v>630</v>
      </c>
      <c r="E3097" s="13" t="s">
        <v>426</v>
      </c>
      <c r="F3097" s="13">
        <v>7500.0</v>
      </c>
    </row>
    <row r="3098">
      <c r="D3098" s="13" t="s">
        <v>964</v>
      </c>
      <c r="E3098" s="13" t="s">
        <v>426</v>
      </c>
      <c r="F3098" s="13">
        <v>8700.0</v>
      </c>
    </row>
    <row r="3099">
      <c r="D3099" s="13" t="s">
        <v>558</v>
      </c>
      <c r="E3099" s="13" t="s">
        <v>426</v>
      </c>
      <c r="F3099" s="13">
        <v>4600.0</v>
      </c>
    </row>
    <row r="3100">
      <c r="D3100" s="13" t="s">
        <v>2030</v>
      </c>
      <c r="E3100" s="13">
        <v>1.0</v>
      </c>
      <c r="F3100" s="13">
        <v>3500.0</v>
      </c>
    </row>
    <row r="3101">
      <c r="D3101" s="13" t="s">
        <v>2031</v>
      </c>
      <c r="E3101" s="13" t="s">
        <v>426</v>
      </c>
      <c r="F3101" s="13">
        <v>3200.0</v>
      </c>
    </row>
    <row r="3102">
      <c r="D3102" s="13" t="s">
        <v>2032</v>
      </c>
      <c r="E3102" s="13"/>
      <c r="F3102" s="13">
        <f>SUM(F3092:F3101)</f>
        <v>104100</v>
      </c>
    </row>
    <row r="3103">
      <c r="D3103" s="13"/>
      <c r="E3103" s="13"/>
      <c r="F3103" s="13"/>
    </row>
    <row r="3104">
      <c r="A3104" s="13" t="s">
        <v>808</v>
      </c>
      <c r="B3104" s="103" t="s">
        <v>2033</v>
      </c>
      <c r="C3104" s="103" t="s">
        <v>501</v>
      </c>
      <c r="D3104" s="13" t="s">
        <v>885</v>
      </c>
      <c r="E3104" s="13" t="s">
        <v>426</v>
      </c>
      <c r="F3104" s="13"/>
    </row>
    <row r="3105">
      <c r="D3105" s="13"/>
      <c r="E3105" s="13"/>
      <c r="F3105" s="13"/>
    </row>
    <row r="3106">
      <c r="A3106" s="13" t="s">
        <v>757</v>
      </c>
      <c r="B3106" s="103" t="s">
        <v>1801</v>
      </c>
      <c r="C3106" s="103" t="s">
        <v>866</v>
      </c>
      <c r="D3106" s="13" t="s">
        <v>1451</v>
      </c>
      <c r="E3106" s="13" t="s">
        <v>429</v>
      </c>
      <c r="F3106" s="13">
        <v>5000.0</v>
      </c>
    </row>
    <row r="3107">
      <c r="D3107" s="13" t="s">
        <v>758</v>
      </c>
      <c r="E3107" s="13" t="s">
        <v>426</v>
      </c>
      <c r="F3107" s="13">
        <v>4600.0</v>
      </c>
    </row>
    <row r="3108">
      <c r="D3108" s="13" t="s">
        <v>716</v>
      </c>
      <c r="E3108" s="13" t="s">
        <v>426</v>
      </c>
      <c r="F3108" s="13">
        <v>9300.0</v>
      </c>
    </row>
    <row r="3109">
      <c r="D3109" s="13" t="s">
        <v>2034</v>
      </c>
      <c r="E3109" s="13">
        <v>1.0</v>
      </c>
      <c r="F3109" s="13">
        <v>4800.0</v>
      </c>
    </row>
    <row r="3110">
      <c r="D3110" s="13" t="s">
        <v>995</v>
      </c>
      <c r="E3110" s="13">
        <v>1.0</v>
      </c>
      <c r="F3110" s="13">
        <v>2600.0</v>
      </c>
    </row>
    <row r="3111">
      <c r="D3111" s="13" t="s">
        <v>586</v>
      </c>
      <c r="E3111" s="13" t="s">
        <v>727</v>
      </c>
      <c r="F3111" s="13">
        <v>4500.0</v>
      </c>
    </row>
    <row r="3112">
      <c r="A3112" s="13" t="s">
        <v>783</v>
      </c>
      <c r="B3112" s="103" t="s">
        <v>1874</v>
      </c>
      <c r="C3112" s="103" t="s">
        <v>2035</v>
      </c>
      <c r="D3112" s="13" t="s">
        <v>2036</v>
      </c>
      <c r="E3112" s="13" t="s">
        <v>429</v>
      </c>
      <c r="F3112" s="13">
        <f>2*20000</f>
        <v>40000</v>
      </c>
    </row>
    <row r="3113">
      <c r="D3113" s="13" t="s">
        <v>865</v>
      </c>
      <c r="E3113" s="13" t="s">
        <v>429</v>
      </c>
      <c r="F3113" s="13">
        <f>2*23000</f>
        <v>46000</v>
      </c>
    </row>
    <row r="3114">
      <c r="D3114" s="13" t="s">
        <v>2037</v>
      </c>
      <c r="E3114" s="13" t="s">
        <v>429</v>
      </c>
      <c r="F3114" s="13">
        <f>2*19500</f>
        <v>39000</v>
      </c>
    </row>
    <row r="3115">
      <c r="D3115" s="13" t="s">
        <v>2038</v>
      </c>
      <c r="E3115" s="13" t="s">
        <v>426</v>
      </c>
      <c r="F3115" s="13">
        <v>23000.0</v>
      </c>
    </row>
    <row r="3116">
      <c r="D3116" s="13" t="s">
        <v>1338</v>
      </c>
      <c r="E3116" s="13" t="s">
        <v>727</v>
      </c>
      <c r="F3116" s="13">
        <v>12000.0</v>
      </c>
    </row>
    <row r="3117">
      <c r="D3117" s="13" t="s">
        <v>2039</v>
      </c>
      <c r="E3117" s="13">
        <v>2.0</v>
      </c>
      <c r="F3117" s="13">
        <v>24000.0</v>
      </c>
    </row>
    <row r="3118">
      <c r="B3118" s="14"/>
      <c r="C3118" s="14"/>
      <c r="D3118" s="13"/>
      <c r="E3118" s="13"/>
      <c r="F3118" s="13"/>
    </row>
    <row r="3119">
      <c r="B3119" s="103" t="s">
        <v>1874</v>
      </c>
      <c r="C3119" s="103" t="s">
        <v>714</v>
      </c>
      <c r="D3119" s="13" t="s">
        <v>824</v>
      </c>
      <c r="E3119" s="13" t="s">
        <v>426</v>
      </c>
      <c r="F3119" s="13"/>
    </row>
    <row r="3120">
      <c r="D3120" s="13" t="s">
        <v>1997</v>
      </c>
      <c r="E3120" s="13" t="s">
        <v>426</v>
      </c>
      <c r="F3120" s="13"/>
    </row>
    <row r="3121">
      <c r="D3121" s="13" t="s">
        <v>606</v>
      </c>
      <c r="E3121" s="13" t="s">
        <v>426</v>
      </c>
      <c r="F3121" s="13"/>
    </row>
    <row r="3122">
      <c r="D3122" s="13" t="s">
        <v>1616</v>
      </c>
      <c r="E3122" s="13">
        <v>1.0</v>
      </c>
      <c r="F3122" s="13"/>
    </row>
    <row r="3123">
      <c r="D3123" s="13" t="s">
        <v>2040</v>
      </c>
      <c r="E3123" s="13" t="s">
        <v>426</v>
      </c>
      <c r="F3123" s="13"/>
    </row>
    <row r="3124">
      <c r="D3124" s="13" t="s">
        <v>2041</v>
      </c>
      <c r="E3124" s="13" t="s">
        <v>426</v>
      </c>
      <c r="F3124" s="13"/>
    </row>
    <row r="3125">
      <c r="D3125" s="13" t="s">
        <v>558</v>
      </c>
      <c r="E3125" s="13" t="s">
        <v>426</v>
      </c>
      <c r="F3125" s="13"/>
    </row>
    <row r="3126">
      <c r="D3126" s="13"/>
      <c r="E3126" s="13"/>
      <c r="F3126" s="13"/>
    </row>
    <row r="3127">
      <c r="D3127" s="13"/>
      <c r="E3127" s="13"/>
      <c r="F3127" s="13"/>
    </row>
    <row r="3128">
      <c r="D3128" s="13"/>
      <c r="E3128" s="13"/>
      <c r="F3128" s="13"/>
    </row>
    <row r="3129">
      <c r="A3129" s="78">
        <v>46110.0</v>
      </c>
      <c r="C3129" s="13" t="s">
        <v>1765</v>
      </c>
      <c r="D3129" s="13" t="s">
        <v>1430</v>
      </c>
      <c r="E3129" s="13">
        <v>1.0</v>
      </c>
      <c r="F3129" s="13"/>
    </row>
    <row r="3130">
      <c r="D3130" s="13"/>
      <c r="E3130" s="13"/>
      <c r="F3130" s="13"/>
    </row>
    <row r="3131">
      <c r="D3131" s="13"/>
      <c r="E3131" s="13"/>
      <c r="F3131" s="13"/>
    </row>
    <row r="3132">
      <c r="D3132" s="13"/>
      <c r="E3132" s="13"/>
      <c r="F3132" s="13"/>
    </row>
    <row r="3133">
      <c r="B3133" s="13" t="s">
        <v>811</v>
      </c>
      <c r="C3133" s="13" t="s">
        <v>1823</v>
      </c>
      <c r="D3133" s="13" t="s">
        <v>2042</v>
      </c>
      <c r="E3133" s="13" t="s">
        <v>426</v>
      </c>
      <c r="F3133" s="13">
        <v>17500.0</v>
      </c>
    </row>
    <row r="3134">
      <c r="D3134" s="13" t="s">
        <v>822</v>
      </c>
      <c r="E3134" s="13" t="s">
        <v>426</v>
      </c>
      <c r="F3134" s="13">
        <v>20500.0</v>
      </c>
    </row>
    <row r="3135">
      <c r="D3135" s="13"/>
      <c r="E3135" s="13"/>
      <c r="F3135" s="13"/>
    </row>
    <row r="3136">
      <c r="D3136" s="13"/>
      <c r="E3136" s="13"/>
      <c r="F3136" s="13"/>
    </row>
    <row r="3137">
      <c r="B3137" s="13" t="s">
        <v>783</v>
      </c>
      <c r="C3137" s="13" t="s">
        <v>2043</v>
      </c>
      <c r="D3137" s="13" t="s">
        <v>1023</v>
      </c>
      <c r="E3137" s="13" t="s">
        <v>426</v>
      </c>
      <c r="F3137" s="13"/>
    </row>
    <row r="3138">
      <c r="D3138" s="13"/>
      <c r="E3138" s="13"/>
      <c r="F3138" s="13"/>
    </row>
    <row r="3139">
      <c r="D3139" s="13"/>
      <c r="E3139" s="13"/>
      <c r="F3139" s="13"/>
    </row>
    <row r="3140">
      <c r="D3140" s="13"/>
      <c r="E3140" s="13"/>
      <c r="F3140" s="13"/>
    </row>
    <row r="3141">
      <c r="C3141" s="13" t="s">
        <v>2044</v>
      </c>
      <c r="D3141" s="13" t="s">
        <v>807</v>
      </c>
      <c r="E3141" s="13" t="s">
        <v>426</v>
      </c>
      <c r="F3141" s="13"/>
    </row>
    <row r="3142">
      <c r="D3142" s="13"/>
      <c r="E3142" s="13"/>
      <c r="F3142" s="13"/>
    </row>
    <row r="3143">
      <c r="D3143" s="13"/>
      <c r="E3143" s="13"/>
      <c r="F3143" s="13"/>
    </row>
    <row r="3144">
      <c r="B3144" s="103" t="s">
        <v>1801</v>
      </c>
      <c r="C3144" s="13" t="s">
        <v>2045</v>
      </c>
      <c r="D3144" s="13" t="s">
        <v>911</v>
      </c>
      <c r="E3144" s="13" t="s">
        <v>426</v>
      </c>
      <c r="F3144" s="13">
        <v>12000.0</v>
      </c>
    </row>
    <row r="3145">
      <c r="D3145" s="13" t="s">
        <v>1119</v>
      </c>
      <c r="E3145" s="13" t="s">
        <v>426</v>
      </c>
      <c r="F3145" s="13">
        <v>14000.0</v>
      </c>
    </row>
    <row r="3146">
      <c r="D3146" s="13" t="s">
        <v>2019</v>
      </c>
      <c r="E3146" s="13">
        <v>3.0</v>
      </c>
      <c r="F3146" s="13">
        <v>7800.0</v>
      </c>
    </row>
    <row r="3147">
      <c r="D3147" s="13" t="s">
        <v>2046</v>
      </c>
      <c r="E3147" s="13">
        <v>3.0</v>
      </c>
      <c r="F3147" s="13">
        <v>10800.0</v>
      </c>
    </row>
    <row r="3148">
      <c r="D3148" s="13" t="s">
        <v>2047</v>
      </c>
      <c r="E3148" s="13">
        <v>3.0</v>
      </c>
      <c r="F3148" s="13">
        <v>10800.0</v>
      </c>
    </row>
    <row r="3149">
      <c r="D3149" s="13" t="s">
        <v>1281</v>
      </c>
      <c r="E3149" s="13" t="s">
        <v>426</v>
      </c>
      <c r="F3149" s="13">
        <v>8700.0</v>
      </c>
    </row>
    <row r="3151">
      <c r="D3151" s="13"/>
      <c r="E3151" s="13"/>
      <c r="F3151" s="13"/>
    </row>
    <row r="3152">
      <c r="B3152" s="103" t="s">
        <v>1801</v>
      </c>
      <c r="C3152" s="103" t="s">
        <v>2048</v>
      </c>
      <c r="D3152" s="13" t="s">
        <v>1150</v>
      </c>
      <c r="E3152" s="13" t="s">
        <v>426</v>
      </c>
      <c r="F3152" s="13">
        <v>23000.0</v>
      </c>
    </row>
    <row r="3153">
      <c r="D3153" s="13" t="s">
        <v>2049</v>
      </c>
      <c r="E3153" s="13" t="s">
        <v>426</v>
      </c>
      <c r="F3153" s="13">
        <v>6600.0</v>
      </c>
    </row>
    <row r="3154">
      <c r="D3154" s="13" t="s">
        <v>2050</v>
      </c>
      <c r="E3154" s="13"/>
      <c r="F3154" s="13">
        <v>5600.0</v>
      </c>
    </row>
    <row r="3155">
      <c r="D3155" s="13"/>
      <c r="E3155" s="13"/>
      <c r="F3155" s="13"/>
    </row>
    <row r="3156">
      <c r="A3156" s="13" t="s">
        <v>783</v>
      </c>
      <c r="B3156" s="103" t="s">
        <v>1801</v>
      </c>
      <c r="C3156" s="103" t="s">
        <v>1954</v>
      </c>
    </row>
    <row r="3157">
      <c r="D3157" s="13" t="s">
        <v>1603</v>
      </c>
      <c r="E3157" s="13" t="s">
        <v>426</v>
      </c>
      <c r="F3157" s="13">
        <v>4300.0</v>
      </c>
    </row>
    <row r="3158">
      <c r="D3158" s="13" t="s">
        <v>2051</v>
      </c>
      <c r="E3158" s="13" t="s">
        <v>765</v>
      </c>
      <c r="F3158" s="13">
        <v>18000.0</v>
      </c>
    </row>
    <row r="3159">
      <c r="B3159" s="103" t="s">
        <v>2052</v>
      </c>
      <c r="C3159" s="103" t="s">
        <v>714</v>
      </c>
      <c r="D3159" s="13" t="s">
        <v>2053</v>
      </c>
      <c r="E3159" s="13">
        <v>1.0</v>
      </c>
      <c r="F3159" s="13"/>
    </row>
    <row r="3160">
      <c r="D3160" s="13"/>
      <c r="E3160" s="13"/>
      <c r="F3160" s="13"/>
    </row>
    <row r="3161">
      <c r="D3161" s="13"/>
      <c r="E3161" s="13"/>
      <c r="F3161" s="13"/>
    </row>
    <row r="3162">
      <c r="B3162" s="13" t="s">
        <v>811</v>
      </c>
      <c r="C3162" s="13" t="s">
        <v>1675</v>
      </c>
      <c r="D3162" s="13" t="s">
        <v>675</v>
      </c>
      <c r="E3162" s="13" t="s">
        <v>429</v>
      </c>
      <c r="F3162" s="13">
        <f>2*1900</f>
        <v>3800</v>
      </c>
    </row>
    <row r="3163">
      <c r="D3163" s="13" t="s">
        <v>1028</v>
      </c>
      <c r="E3163" s="13" t="s">
        <v>1024</v>
      </c>
      <c r="F3163" s="13">
        <v>7000.0</v>
      </c>
    </row>
    <row r="3164">
      <c r="D3164" s="13" t="s">
        <v>444</v>
      </c>
      <c r="E3164" s="13" t="s">
        <v>1024</v>
      </c>
      <c r="F3164" s="13">
        <v>6500.0</v>
      </c>
    </row>
    <row r="3165">
      <c r="D3165" s="13" t="s">
        <v>1522</v>
      </c>
      <c r="E3165" s="13">
        <v>1.0</v>
      </c>
      <c r="F3165" s="13">
        <v>2600.0</v>
      </c>
    </row>
    <row r="3166">
      <c r="D3166" s="13" t="s">
        <v>598</v>
      </c>
      <c r="E3166" s="13" t="s">
        <v>426</v>
      </c>
      <c r="F3166" s="13">
        <v>23000.0</v>
      </c>
    </row>
    <row r="3167">
      <c r="D3167" s="13" t="s">
        <v>2054</v>
      </c>
      <c r="E3167" s="13">
        <v>1.0</v>
      </c>
      <c r="F3167" s="13">
        <v>2100.0</v>
      </c>
    </row>
    <row r="3168">
      <c r="D3168" s="13" t="s">
        <v>2055</v>
      </c>
      <c r="E3168" s="13" t="s">
        <v>426</v>
      </c>
      <c r="F3168" s="13">
        <v>3000.0</v>
      </c>
    </row>
    <row r="3169">
      <c r="D3169" s="13"/>
      <c r="E3169" s="13"/>
      <c r="F3169" s="13"/>
    </row>
    <row r="3170">
      <c r="D3170" s="13"/>
      <c r="E3170" s="13"/>
      <c r="F3170" s="13"/>
    </row>
    <row r="3171">
      <c r="C3171" s="13" t="s">
        <v>472</v>
      </c>
      <c r="D3171" s="13" t="s">
        <v>558</v>
      </c>
      <c r="E3171" s="13" t="s">
        <v>429</v>
      </c>
      <c r="F3171" s="13">
        <f>2*4600</f>
        <v>9200</v>
      </c>
    </row>
    <row r="3172">
      <c r="D3172" s="13" t="s">
        <v>2056</v>
      </c>
      <c r="E3172" s="13" t="s">
        <v>429</v>
      </c>
      <c r="F3172" s="13">
        <v>4400.0</v>
      </c>
    </row>
    <row r="3173">
      <c r="D3173" s="13" t="s">
        <v>1857</v>
      </c>
      <c r="E3173" s="13">
        <v>1.0</v>
      </c>
      <c r="F3173" s="13">
        <v>4800.0</v>
      </c>
    </row>
    <row r="3174">
      <c r="D3174" s="13"/>
      <c r="E3174" s="13"/>
      <c r="F3174" s="13"/>
    </row>
    <row r="3175">
      <c r="B3175" s="103" t="s">
        <v>1874</v>
      </c>
      <c r="C3175" s="103" t="s">
        <v>2057</v>
      </c>
      <c r="D3175" s="13" t="s">
        <v>577</v>
      </c>
      <c r="E3175" s="13" t="s">
        <v>426</v>
      </c>
      <c r="F3175" s="13">
        <v>23000.0</v>
      </c>
    </row>
    <row r="3176">
      <c r="D3176" s="13" t="s">
        <v>1130</v>
      </c>
      <c r="E3176" s="13" t="s">
        <v>426</v>
      </c>
      <c r="F3176" s="13">
        <v>33200.0</v>
      </c>
    </row>
    <row r="3177">
      <c r="D3177" s="13"/>
      <c r="E3177" s="13"/>
      <c r="F3177" s="13"/>
    </row>
    <row r="3178">
      <c r="D3178" s="13"/>
      <c r="E3178" s="13"/>
      <c r="F3178" s="13"/>
    </row>
    <row r="3179">
      <c r="B3179" s="103" t="s">
        <v>1874</v>
      </c>
      <c r="C3179" s="103" t="s">
        <v>755</v>
      </c>
      <c r="D3179" s="13" t="s">
        <v>716</v>
      </c>
      <c r="E3179" s="13" t="s">
        <v>429</v>
      </c>
      <c r="F3179" s="13">
        <v>9300.0</v>
      </c>
    </row>
    <row r="3180">
      <c r="D3180" s="13" t="s">
        <v>606</v>
      </c>
      <c r="E3180" s="13" t="s">
        <v>429</v>
      </c>
      <c r="F3180" s="13">
        <v>6300.0</v>
      </c>
    </row>
    <row r="3181">
      <c r="D3181" s="13" t="s">
        <v>2058</v>
      </c>
      <c r="E3181" s="13" t="s">
        <v>429</v>
      </c>
      <c r="F3181" s="13">
        <v>8400.0</v>
      </c>
    </row>
    <row r="3182">
      <c r="D3182" s="13"/>
      <c r="E3182" s="13"/>
      <c r="F3182" s="13"/>
    </row>
    <row r="3183">
      <c r="D3183" s="13"/>
      <c r="E3183" s="13"/>
      <c r="F3183" s="13"/>
    </row>
    <row r="3184">
      <c r="B3184" s="103" t="s">
        <v>1801</v>
      </c>
      <c r="C3184" s="103" t="s">
        <v>2059</v>
      </c>
      <c r="D3184" s="13" t="s">
        <v>2060</v>
      </c>
      <c r="E3184" s="13">
        <v>1.0</v>
      </c>
      <c r="F3184" s="13">
        <v>5500.0</v>
      </c>
    </row>
    <row r="3185">
      <c r="D3185" s="13"/>
      <c r="E3185" s="13"/>
      <c r="F3185" s="13"/>
    </row>
    <row r="3186">
      <c r="D3186" s="13"/>
      <c r="E3186" s="13"/>
      <c r="F3186" s="13"/>
    </row>
    <row r="3187">
      <c r="B3187" s="13" t="s">
        <v>811</v>
      </c>
      <c r="C3187" s="13" t="s">
        <v>1138</v>
      </c>
      <c r="D3187" s="13" t="s">
        <v>595</v>
      </c>
      <c r="E3187" s="13" t="s">
        <v>2061</v>
      </c>
      <c r="F3187" s="13">
        <v>36800.0</v>
      </c>
    </row>
    <row r="3188">
      <c r="D3188" s="13"/>
      <c r="E3188" s="13"/>
      <c r="F3188" s="13"/>
    </row>
    <row r="3189">
      <c r="D3189" s="13"/>
      <c r="E3189" s="13"/>
      <c r="F3189" s="13"/>
    </row>
    <row r="3190">
      <c r="D3190" s="13"/>
      <c r="E3190" s="13"/>
      <c r="F3190" s="13"/>
    </row>
    <row r="3191">
      <c r="D3191" s="13"/>
      <c r="E3191" s="13"/>
      <c r="F3191" s="13"/>
    </row>
    <row r="3192">
      <c r="A3192" s="78">
        <v>46124.0</v>
      </c>
      <c r="D3192" s="13"/>
      <c r="E3192" s="13"/>
      <c r="F3192" s="13"/>
    </row>
    <row r="3193">
      <c r="B3193" s="103" t="s">
        <v>1801</v>
      </c>
      <c r="C3193" s="103" t="s">
        <v>2062</v>
      </c>
      <c r="D3193" s="13" t="s">
        <v>2063</v>
      </c>
      <c r="E3193" s="13" t="s">
        <v>727</v>
      </c>
      <c r="F3193" s="13"/>
    </row>
    <row r="3194">
      <c r="D3194" s="13" t="s">
        <v>2051</v>
      </c>
      <c r="E3194" s="13" t="s">
        <v>727</v>
      </c>
      <c r="F3194" s="13" t="s">
        <v>2064</v>
      </c>
    </row>
    <row r="3195">
      <c r="D3195" s="13"/>
      <c r="E3195" s="13"/>
      <c r="F3195" s="13"/>
    </row>
    <row r="3196">
      <c r="D3196" s="13"/>
      <c r="E3196" s="13"/>
      <c r="F3196" s="13"/>
    </row>
    <row r="3197">
      <c r="D3197" s="13"/>
      <c r="E3197" s="13"/>
      <c r="F3197" s="13"/>
    </row>
    <row r="3198">
      <c r="D3198" s="13"/>
      <c r="E3198" s="13"/>
      <c r="F3198" s="13"/>
    </row>
    <row r="3199">
      <c r="A3199" s="13" t="s">
        <v>808</v>
      </c>
      <c r="B3199" s="103" t="s">
        <v>2052</v>
      </c>
      <c r="C3199" s="103" t="s">
        <v>2065</v>
      </c>
      <c r="D3199" s="13" t="s">
        <v>885</v>
      </c>
      <c r="E3199" s="13" t="s">
        <v>426</v>
      </c>
      <c r="F3199" s="13">
        <v>20500.0</v>
      </c>
    </row>
    <row r="3200">
      <c r="D3200" s="13" t="s">
        <v>799</v>
      </c>
      <c r="E3200" s="13" t="s">
        <v>426</v>
      </c>
      <c r="F3200" s="13">
        <v>20000.0</v>
      </c>
    </row>
    <row r="3201">
      <c r="D3201" s="13" t="s">
        <v>2066</v>
      </c>
      <c r="E3201" s="13" t="s">
        <v>426</v>
      </c>
      <c r="F3201" s="13">
        <v>2300.0</v>
      </c>
    </row>
    <row r="3202">
      <c r="D3202" s="13"/>
      <c r="E3202" s="13"/>
      <c r="F3202" s="13"/>
    </row>
    <row r="3203">
      <c r="D3203" s="13"/>
      <c r="E3203" s="13"/>
      <c r="F3203" s="13"/>
    </row>
    <row r="3204">
      <c r="A3204" s="13" t="s">
        <v>808</v>
      </c>
      <c r="B3204" s="103" t="s">
        <v>1801</v>
      </c>
      <c r="C3204" s="103" t="s">
        <v>1667</v>
      </c>
      <c r="D3204" s="13" t="s">
        <v>1163</v>
      </c>
      <c r="E3204" s="13" t="s">
        <v>426</v>
      </c>
      <c r="F3204" s="13">
        <v>20500.0</v>
      </c>
    </row>
    <row r="3205">
      <c r="D3205" s="13" t="s">
        <v>2067</v>
      </c>
      <c r="E3205" s="13">
        <v>1.0</v>
      </c>
      <c r="F3205" s="13">
        <v>3600.0</v>
      </c>
    </row>
    <row r="3206">
      <c r="D3206" s="13"/>
      <c r="E3206" s="13"/>
      <c r="F3206" s="13"/>
    </row>
    <row r="3207">
      <c r="D3207" s="13"/>
      <c r="E3207" s="13"/>
      <c r="F3207" s="13"/>
    </row>
    <row r="3208">
      <c r="B3208" s="14"/>
      <c r="C3208" s="14"/>
    </row>
    <row r="3210">
      <c r="D3210" s="13"/>
      <c r="E3210" s="13"/>
      <c r="F3210" s="13"/>
    </row>
    <row r="3211">
      <c r="D3211" s="13"/>
      <c r="E3211" s="13"/>
      <c r="F3211" s="13"/>
    </row>
    <row r="3212">
      <c r="A3212" s="13" t="s">
        <v>1095</v>
      </c>
      <c r="B3212" s="103" t="s">
        <v>1801</v>
      </c>
      <c r="C3212" s="103" t="s">
        <v>501</v>
      </c>
      <c r="D3212" s="13" t="s">
        <v>1336</v>
      </c>
      <c r="E3212" s="13" t="s">
        <v>426</v>
      </c>
      <c r="F3212" s="13">
        <v>7500.0</v>
      </c>
    </row>
    <row r="3213">
      <c r="D3213" s="13"/>
      <c r="E3213" s="13"/>
      <c r="F3213" s="13"/>
    </row>
    <row r="3214">
      <c r="D3214" s="13"/>
      <c r="E3214" s="13"/>
      <c r="F3214" s="13"/>
    </row>
    <row r="3215">
      <c r="A3215" s="13" t="s">
        <v>1095</v>
      </c>
      <c r="B3215" s="103" t="s">
        <v>1801</v>
      </c>
      <c r="C3215" s="103" t="s">
        <v>2068</v>
      </c>
      <c r="D3215" s="13" t="s">
        <v>630</v>
      </c>
      <c r="E3215" s="13" t="s">
        <v>426</v>
      </c>
      <c r="F3215" s="13">
        <v>7500.0</v>
      </c>
    </row>
    <row r="3216">
      <c r="D3216" s="13"/>
      <c r="E3216" s="13"/>
      <c r="F3216" s="13"/>
    </row>
    <row r="3217">
      <c r="D3217" s="13" t="s">
        <v>1275</v>
      </c>
      <c r="E3217" s="13" t="s">
        <v>426</v>
      </c>
      <c r="F3217" s="13">
        <v>17500.0</v>
      </c>
    </row>
    <row r="3218">
      <c r="D3218" s="13" t="s">
        <v>444</v>
      </c>
      <c r="E3218" s="13" t="s">
        <v>426</v>
      </c>
      <c r="F3218" s="13">
        <v>13000.0</v>
      </c>
    </row>
    <row r="3219">
      <c r="D3219" s="13"/>
      <c r="E3219" s="13"/>
      <c r="F3219" s="13"/>
    </row>
    <row r="3220">
      <c r="D3220" s="13"/>
      <c r="E3220" s="13"/>
      <c r="F3220" s="13"/>
    </row>
    <row r="3221">
      <c r="B3221" s="13" t="s">
        <v>1901</v>
      </c>
      <c r="C3221" s="13" t="s">
        <v>1409</v>
      </c>
      <c r="D3221" s="13" t="s">
        <v>644</v>
      </c>
      <c r="E3221" s="13">
        <v>1.0</v>
      </c>
      <c r="F3221" s="13"/>
    </row>
    <row r="3222">
      <c r="D3222" s="13"/>
      <c r="E3222" s="13"/>
      <c r="F3222" s="13"/>
    </row>
    <row r="3223">
      <c r="D3223" s="13"/>
      <c r="E3223" s="13"/>
      <c r="F3223" s="13"/>
    </row>
    <row r="3224">
      <c r="A3224" s="13" t="s">
        <v>811</v>
      </c>
      <c r="B3224" s="13" t="s">
        <v>1901</v>
      </c>
      <c r="C3224" s="13" t="s">
        <v>483</v>
      </c>
      <c r="D3224" s="13" t="s">
        <v>1822</v>
      </c>
      <c r="E3224" s="13" t="s">
        <v>426</v>
      </c>
      <c r="F3224" s="13"/>
    </row>
    <row r="3225">
      <c r="D3225" s="13"/>
      <c r="E3225" s="13"/>
      <c r="F3225" s="13"/>
    </row>
    <row r="3226">
      <c r="B3226" s="13" t="s">
        <v>1901</v>
      </c>
      <c r="C3226" s="13" t="s">
        <v>466</v>
      </c>
      <c r="D3226" s="13" t="s">
        <v>558</v>
      </c>
      <c r="E3226" s="13" t="s">
        <v>2069</v>
      </c>
      <c r="F3226" s="13">
        <v>18400.0</v>
      </c>
    </row>
    <row r="3227">
      <c r="D3227" s="13" t="s">
        <v>551</v>
      </c>
      <c r="E3227" s="13" t="s">
        <v>426</v>
      </c>
      <c r="F3227" s="13">
        <v>23000.0</v>
      </c>
    </row>
    <row r="3228">
      <c r="D3228" s="13"/>
      <c r="E3228" s="13"/>
      <c r="F3228" s="13"/>
    </row>
    <row r="3229">
      <c r="A3229" s="13" t="s">
        <v>811</v>
      </c>
      <c r="B3229" s="13" t="s">
        <v>1901</v>
      </c>
      <c r="C3229" s="13" t="s">
        <v>2070</v>
      </c>
      <c r="D3229" s="13" t="s">
        <v>551</v>
      </c>
      <c r="E3229" s="13" t="s">
        <v>426</v>
      </c>
      <c r="F3229" s="13">
        <v>23000.0</v>
      </c>
    </row>
    <row r="3230">
      <c r="D3230" s="13" t="s">
        <v>822</v>
      </c>
      <c r="E3230" s="13" t="s">
        <v>426</v>
      </c>
      <c r="F3230" s="13">
        <v>20500.0</v>
      </c>
    </row>
    <row r="3231">
      <c r="D3231" s="13" t="s">
        <v>2071</v>
      </c>
      <c r="E3231" s="13" t="s">
        <v>426</v>
      </c>
      <c r="F3231" s="13">
        <v>0.0</v>
      </c>
    </row>
    <row r="3232">
      <c r="D3232" s="13"/>
      <c r="E3232" s="13"/>
      <c r="F3232" s="13"/>
    </row>
    <row r="3233">
      <c r="B3233" s="13"/>
      <c r="C3233" s="13"/>
      <c r="D3233" s="13"/>
      <c r="E3233" s="13"/>
      <c r="F3233" s="13"/>
    </row>
    <row r="3234">
      <c r="A3234" s="13" t="s">
        <v>811</v>
      </c>
      <c r="B3234" s="13" t="s">
        <v>1901</v>
      </c>
      <c r="C3234" s="13" t="s">
        <v>2072</v>
      </c>
      <c r="D3234" s="13" t="s">
        <v>598</v>
      </c>
      <c r="E3234" s="13" t="s">
        <v>426</v>
      </c>
      <c r="F3234" s="13">
        <v>23000.0</v>
      </c>
    </row>
    <row r="3235">
      <c r="D3235" s="13" t="s">
        <v>908</v>
      </c>
      <c r="E3235" s="13" t="s">
        <v>426</v>
      </c>
      <c r="F3235" s="13">
        <v>8000.0</v>
      </c>
    </row>
    <row r="3236">
      <c r="D3236" s="13"/>
      <c r="E3236" s="13"/>
      <c r="F3236" s="13"/>
    </row>
    <row r="3237">
      <c r="D3237" s="13"/>
      <c r="E3237" s="13"/>
      <c r="F3237" s="13"/>
    </row>
    <row r="3238">
      <c r="B3238" s="13" t="s">
        <v>1901</v>
      </c>
      <c r="C3238" s="13" t="s">
        <v>2073</v>
      </c>
      <c r="D3238" s="13" t="s">
        <v>586</v>
      </c>
      <c r="E3238" s="13" t="s">
        <v>426</v>
      </c>
      <c r="F3238" s="13">
        <v>8700.0</v>
      </c>
    </row>
    <row r="3239">
      <c r="D3239" s="13" t="s">
        <v>1337</v>
      </c>
      <c r="E3239" s="13" t="s">
        <v>426</v>
      </c>
      <c r="F3239" s="13">
        <v>4100.0</v>
      </c>
    </row>
    <row r="3240">
      <c r="D3240" s="13"/>
      <c r="E3240" s="13"/>
      <c r="F3240" s="13"/>
    </row>
    <row r="3241">
      <c r="B3241" s="13" t="s">
        <v>1901</v>
      </c>
      <c r="C3241" s="13" t="s">
        <v>2074</v>
      </c>
      <c r="D3241" s="13" t="s">
        <v>543</v>
      </c>
      <c r="E3241" s="13" t="s">
        <v>426</v>
      </c>
      <c r="F3241" s="13"/>
    </row>
    <row r="3242">
      <c r="D3242" s="13"/>
      <c r="E3242" s="13"/>
      <c r="F3242" s="13"/>
    </row>
    <row r="3243">
      <c r="D3243" s="13"/>
      <c r="E3243" s="13"/>
      <c r="F3243" s="13"/>
    </row>
    <row r="3244">
      <c r="B3244" s="13" t="s">
        <v>1901</v>
      </c>
      <c r="C3244" s="13" t="s">
        <v>1880</v>
      </c>
      <c r="D3244" s="13" t="s">
        <v>1205</v>
      </c>
      <c r="E3244" s="13" t="s">
        <v>426</v>
      </c>
      <c r="F3244" s="13">
        <v>11500.0</v>
      </c>
    </row>
    <row r="3245">
      <c r="D3245" s="13" t="s">
        <v>1657</v>
      </c>
      <c r="E3245" s="13" t="s">
        <v>426</v>
      </c>
      <c r="F3245" s="13">
        <v>7500.0</v>
      </c>
    </row>
    <row r="3246">
      <c r="D3246" s="13" t="s">
        <v>558</v>
      </c>
      <c r="E3246" s="13" t="s">
        <v>426</v>
      </c>
      <c r="F3246" s="13">
        <v>4600.0</v>
      </c>
    </row>
    <row r="3247">
      <c r="D3247" s="13"/>
      <c r="E3247" s="13"/>
      <c r="F3247" s="13"/>
    </row>
    <row r="3248">
      <c r="D3248" s="13"/>
      <c r="E3248" s="13"/>
      <c r="F3248" s="13"/>
    </row>
    <row r="3249">
      <c r="C3249" s="13" t="s">
        <v>560</v>
      </c>
      <c r="D3249" s="13" t="s">
        <v>822</v>
      </c>
      <c r="E3249" s="13" t="s">
        <v>426</v>
      </c>
      <c r="F3249" s="13"/>
    </row>
    <row r="3250">
      <c r="D3250" s="13" t="s">
        <v>1101</v>
      </c>
      <c r="E3250" s="13" t="s">
        <v>426</v>
      </c>
      <c r="F3250" s="13"/>
    </row>
    <row r="3251">
      <c r="D3251" s="13"/>
      <c r="E3251" s="13"/>
      <c r="F3251" s="13"/>
    </row>
    <row r="3252">
      <c r="D3252" s="13"/>
      <c r="E3252" s="13"/>
      <c r="F3252" s="13"/>
    </row>
    <row r="3253">
      <c r="C3253" s="13" t="s">
        <v>542</v>
      </c>
      <c r="D3253" s="13" t="s">
        <v>1957</v>
      </c>
      <c r="E3253" s="13">
        <v>1.0</v>
      </c>
      <c r="F3253" s="13"/>
    </row>
    <row r="3254">
      <c r="D3254" s="13"/>
      <c r="E3254" s="13"/>
      <c r="F3254" s="13"/>
    </row>
    <row r="3255">
      <c r="D3255" s="13"/>
      <c r="E3255" s="13"/>
      <c r="F3255" s="13"/>
    </row>
    <row r="3256">
      <c r="C3256" s="13" t="s">
        <v>2075</v>
      </c>
      <c r="D3256" s="13" t="s">
        <v>824</v>
      </c>
      <c r="E3256" s="13" t="s">
        <v>426</v>
      </c>
      <c r="F3256" s="13">
        <v>11700.0</v>
      </c>
    </row>
    <row r="3257">
      <c r="D3257" s="13" t="s">
        <v>446</v>
      </c>
      <c r="E3257" s="13" t="s">
        <v>426</v>
      </c>
      <c r="F3257" s="13">
        <v>4000.0</v>
      </c>
    </row>
    <row r="3258">
      <c r="D3258" s="13" t="s">
        <v>2076</v>
      </c>
      <c r="E3258" s="13">
        <v>1.0</v>
      </c>
      <c r="F3258" s="13">
        <v>4500.0</v>
      </c>
    </row>
    <row r="3259">
      <c r="D3259" s="13" t="s">
        <v>558</v>
      </c>
      <c r="E3259" s="13" t="s">
        <v>426</v>
      </c>
      <c r="F3259" s="13">
        <v>4600.0</v>
      </c>
    </row>
    <row r="3260">
      <c r="D3260" s="13" t="s">
        <v>2077</v>
      </c>
      <c r="E3260" s="13">
        <v>1.0</v>
      </c>
      <c r="F3260" s="13">
        <v>0.0</v>
      </c>
    </row>
    <row r="3261">
      <c r="D3261" s="13" t="s">
        <v>1181</v>
      </c>
      <c r="E3261" s="13"/>
      <c r="F3261" s="13">
        <v>2600.0</v>
      </c>
    </row>
    <row r="3262">
      <c r="D3262" s="13"/>
      <c r="E3262" s="13"/>
      <c r="F3262" s="13"/>
    </row>
    <row r="3263">
      <c r="D3263" s="13"/>
      <c r="E3263" s="13"/>
      <c r="F3263" s="13"/>
    </row>
    <row r="3264">
      <c r="C3264" s="13" t="s">
        <v>2078</v>
      </c>
      <c r="D3264" s="13" t="s">
        <v>732</v>
      </c>
      <c r="E3264" s="13" t="s">
        <v>426</v>
      </c>
      <c r="F3264" s="13">
        <v>0.0</v>
      </c>
    </row>
    <row r="3265">
      <c r="D3265" s="13" t="s">
        <v>558</v>
      </c>
      <c r="E3265" s="13" t="s">
        <v>426</v>
      </c>
      <c r="F3265" s="13">
        <v>4600.0</v>
      </c>
    </row>
    <row r="3266">
      <c r="D3266" s="13" t="s">
        <v>2079</v>
      </c>
      <c r="E3266" s="13">
        <v>1.0</v>
      </c>
      <c r="F3266" s="13">
        <v>8300.0</v>
      </c>
    </row>
    <row r="3267">
      <c r="A3267" s="13"/>
      <c r="B3267" s="103"/>
      <c r="C3267" s="103"/>
      <c r="D3267" s="13" t="s">
        <v>2032</v>
      </c>
      <c r="E3267" s="13"/>
      <c r="F3267" s="13">
        <f>SUM(F3264:F3266)</f>
        <v>12900</v>
      </c>
    </row>
    <row r="3268">
      <c r="A3268" s="13"/>
      <c r="B3268" s="103"/>
      <c r="C3268" s="103"/>
      <c r="D3268" s="13"/>
      <c r="E3268" s="13"/>
      <c r="F3268" s="13"/>
    </row>
    <row r="3269">
      <c r="A3269" s="13" t="s">
        <v>811</v>
      </c>
      <c r="B3269" s="103" t="s">
        <v>1901</v>
      </c>
      <c r="C3269" s="103" t="s">
        <v>1772</v>
      </c>
      <c r="D3269" s="13" t="s">
        <v>908</v>
      </c>
      <c r="E3269" s="13">
        <v>8000.0</v>
      </c>
      <c r="F3269" s="13"/>
    </row>
    <row r="3270">
      <c r="A3270" s="13"/>
      <c r="B3270" s="103"/>
      <c r="C3270" s="103"/>
      <c r="D3270" s="13"/>
      <c r="E3270" s="13"/>
      <c r="F3270" s="13"/>
    </row>
    <row r="3271">
      <c r="A3271" s="13"/>
      <c r="B3271" s="103"/>
      <c r="C3271" s="103"/>
      <c r="D3271" s="13"/>
      <c r="E3271" s="13"/>
      <c r="F3271" s="13"/>
    </row>
    <row r="3272">
      <c r="A3272" s="13"/>
      <c r="B3272" s="103"/>
      <c r="C3272" s="103"/>
      <c r="D3272" s="13"/>
      <c r="E3272" s="13"/>
      <c r="F3272" s="13"/>
    </row>
    <row r="3273">
      <c r="A3273" s="13" t="s">
        <v>2080</v>
      </c>
      <c r="B3273" s="103" t="s">
        <v>1801</v>
      </c>
      <c r="C3273" s="103" t="s">
        <v>2081</v>
      </c>
      <c r="D3273" s="13" t="s">
        <v>1326</v>
      </c>
      <c r="E3273" s="13" t="s">
        <v>426</v>
      </c>
      <c r="F3273" s="13"/>
    </row>
    <row r="3274">
      <c r="D3274" s="13" t="s">
        <v>586</v>
      </c>
      <c r="E3274" s="13" t="s">
        <v>426</v>
      </c>
      <c r="F3274" s="13"/>
    </row>
    <row r="3275">
      <c r="D3275" s="13" t="s">
        <v>732</v>
      </c>
      <c r="E3275" s="13" t="s">
        <v>426</v>
      </c>
      <c r="F3275" s="13"/>
    </row>
    <row r="3276">
      <c r="D3276" s="13"/>
      <c r="E3276" s="13"/>
      <c r="F3276" s="13"/>
    </row>
    <row r="3277">
      <c r="D3277" s="13"/>
      <c r="E3277" s="13"/>
      <c r="F3277" s="13"/>
    </row>
    <row r="3278">
      <c r="A3278" s="78">
        <v>46131.0</v>
      </c>
      <c r="D3278" s="13"/>
      <c r="E3278" s="13"/>
      <c r="F3278" s="13"/>
    </row>
    <row r="3279">
      <c r="A3279" s="13" t="s">
        <v>757</v>
      </c>
      <c r="B3279" s="103" t="s">
        <v>1841</v>
      </c>
      <c r="C3279" s="103" t="s">
        <v>1578</v>
      </c>
      <c r="D3279" s="13" t="s">
        <v>1733</v>
      </c>
      <c r="E3279" s="13" t="s">
        <v>426</v>
      </c>
      <c r="F3279" s="13">
        <v>6500.0</v>
      </c>
    </row>
    <row r="3281">
      <c r="D3281" s="13" t="s">
        <v>2082</v>
      </c>
      <c r="E3281" s="13">
        <v>1.0</v>
      </c>
      <c r="F3281" s="13">
        <v>7200.0</v>
      </c>
    </row>
    <row r="3282">
      <c r="D3282" s="13"/>
      <c r="E3282" s="13"/>
      <c r="F3282" s="13"/>
    </row>
    <row r="3283">
      <c r="A3283" s="13" t="s">
        <v>808</v>
      </c>
      <c r="B3283" s="103" t="s">
        <v>1801</v>
      </c>
      <c r="C3283" s="103" t="s">
        <v>2083</v>
      </c>
      <c r="D3283" s="13" t="s">
        <v>1474</v>
      </c>
      <c r="E3283" s="13" t="s">
        <v>426</v>
      </c>
      <c r="F3283" s="13">
        <v>24000.0</v>
      </c>
    </row>
    <row r="3284">
      <c r="D3284" s="13"/>
      <c r="E3284" s="13"/>
      <c r="F3284" s="13"/>
    </row>
    <row r="3285">
      <c r="D3285" s="13"/>
      <c r="E3285" s="13"/>
      <c r="F3285" s="13"/>
    </row>
    <row r="3286">
      <c r="A3286" s="13" t="s">
        <v>808</v>
      </c>
      <c r="B3286" s="103" t="s">
        <v>1801</v>
      </c>
      <c r="C3286" s="103" t="s">
        <v>2084</v>
      </c>
      <c r="D3286" s="13" t="s">
        <v>1053</v>
      </c>
      <c r="E3286" s="13" t="s">
        <v>426</v>
      </c>
      <c r="F3286" s="13">
        <v>23000.0</v>
      </c>
    </row>
    <row r="3289">
      <c r="D3289" s="13"/>
      <c r="E3289" s="13"/>
      <c r="F3289" s="13"/>
    </row>
    <row r="3290">
      <c r="A3290" s="13" t="s">
        <v>757</v>
      </c>
      <c r="B3290" s="103" t="s">
        <v>1801</v>
      </c>
      <c r="C3290" s="103" t="s">
        <v>2085</v>
      </c>
      <c r="D3290" s="13" t="s">
        <v>1202</v>
      </c>
      <c r="E3290" s="13" t="s">
        <v>426</v>
      </c>
      <c r="F3290" s="13">
        <v>3500.0</v>
      </c>
    </row>
    <row r="3291">
      <c r="D3291" s="13" t="s">
        <v>1205</v>
      </c>
      <c r="E3291" s="13" t="s">
        <v>426</v>
      </c>
      <c r="F3291" s="13">
        <v>23000.0</v>
      </c>
    </row>
    <row r="3292">
      <c r="D3292" s="13" t="s">
        <v>824</v>
      </c>
      <c r="E3292" s="13" t="s">
        <v>426</v>
      </c>
      <c r="F3292" s="13">
        <v>11700.0</v>
      </c>
    </row>
    <row r="3293">
      <c r="D3293" s="13" t="s">
        <v>543</v>
      </c>
      <c r="E3293" s="13" t="s">
        <v>426</v>
      </c>
      <c r="F3293" s="13">
        <v>8400.0</v>
      </c>
    </row>
    <row r="3294">
      <c r="D3294" s="13"/>
      <c r="E3294" s="13"/>
      <c r="F3294" s="13"/>
    </row>
    <row r="3295">
      <c r="A3295" s="13" t="s">
        <v>808</v>
      </c>
      <c r="B3295" s="103" t="s">
        <v>1801</v>
      </c>
      <c r="C3295" s="103" t="s">
        <v>1575</v>
      </c>
      <c r="D3295" s="13" t="s">
        <v>911</v>
      </c>
      <c r="E3295" s="13" t="s">
        <v>426</v>
      </c>
      <c r="F3295" s="13">
        <v>12000.0</v>
      </c>
      <c r="G3295" s="13">
        <v>12000.0</v>
      </c>
    </row>
    <row r="3296">
      <c r="D3296" s="13" t="s">
        <v>1609</v>
      </c>
      <c r="E3296" s="13" t="s">
        <v>727</v>
      </c>
      <c r="F3296" s="13">
        <v>3500.0</v>
      </c>
    </row>
    <row r="3297">
      <c r="D3297" s="13"/>
      <c r="E3297" s="13"/>
      <c r="F3297" s="13"/>
    </row>
    <row r="3298">
      <c r="A3298" s="13" t="s">
        <v>757</v>
      </c>
      <c r="B3298" s="103" t="s">
        <v>1801</v>
      </c>
      <c r="C3298" s="103" t="s">
        <v>2086</v>
      </c>
      <c r="D3298" s="13" t="s">
        <v>2087</v>
      </c>
      <c r="E3298" s="13">
        <v>1.0</v>
      </c>
      <c r="F3298" s="13">
        <v>5800.0</v>
      </c>
    </row>
    <row r="3299">
      <c r="D3299" s="13" t="s">
        <v>2088</v>
      </c>
      <c r="E3299" s="13">
        <v>1.0</v>
      </c>
      <c r="F3299" s="13">
        <v>3500.0</v>
      </c>
    </row>
    <row r="3300">
      <c r="D3300" s="13" t="s">
        <v>1352</v>
      </c>
      <c r="E3300" s="13" t="s">
        <v>426</v>
      </c>
      <c r="F3300" s="13">
        <v>11000.0</v>
      </c>
    </row>
    <row r="3301">
      <c r="D3301" s="13" t="s">
        <v>2089</v>
      </c>
      <c r="E3301" s="13">
        <v>6.0</v>
      </c>
      <c r="F3301" s="13">
        <v>7800.0</v>
      </c>
    </row>
    <row r="3302">
      <c r="D3302" s="13"/>
      <c r="E3302" s="13"/>
      <c r="F3302" s="13"/>
    </row>
    <row r="3303">
      <c r="B3303" s="14"/>
      <c r="C3303" s="14"/>
    </row>
    <row r="3305">
      <c r="D3305" s="13"/>
      <c r="E3305" s="13"/>
      <c r="F3305" s="13"/>
    </row>
    <row r="3306">
      <c r="D3306" s="13"/>
      <c r="E3306" s="13"/>
      <c r="F3306" s="13"/>
    </row>
    <row r="3307">
      <c r="A3307" s="13" t="s">
        <v>757</v>
      </c>
      <c r="B3307" s="103" t="s">
        <v>1801</v>
      </c>
      <c r="C3307" s="103" t="s">
        <v>501</v>
      </c>
      <c r="D3307" s="13" t="s">
        <v>549</v>
      </c>
      <c r="E3307" s="13" t="s">
        <v>426</v>
      </c>
      <c r="F3307" s="13">
        <v>18500.0</v>
      </c>
    </row>
    <row r="3308">
      <c r="D3308" s="13" t="s">
        <v>764</v>
      </c>
      <c r="E3308" s="13" t="s">
        <v>426</v>
      </c>
      <c r="F3308" s="13">
        <v>20000.0</v>
      </c>
    </row>
    <row r="3309">
      <c r="D3309" s="13"/>
      <c r="E3309" s="13"/>
      <c r="F3309" s="13"/>
    </row>
    <row r="3310">
      <c r="C3310" s="13" t="s">
        <v>497</v>
      </c>
      <c r="D3310" s="13" t="s">
        <v>558</v>
      </c>
      <c r="E3310" s="13" t="s">
        <v>426</v>
      </c>
      <c r="F3310" s="13"/>
    </row>
    <row r="3311">
      <c r="D3311" s="13" t="s">
        <v>908</v>
      </c>
      <c r="E3311" s="13" t="s">
        <v>539</v>
      </c>
      <c r="F3311" s="13"/>
    </row>
    <row r="3312">
      <c r="D3312" s="13"/>
      <c r="E3312" s="13"/>
      <c r="F3312" s="13"/>
    </row>
    <row r="3313">
      <c r="D3313" s="13"/>
      <c r="E3313" s="13"/>
      <c r="F3313" s="13"/>
    </row>
    <row r="3314">
      <c r="C3314" s="13" t="s">
        <v>1138</v>
      </c>
      <c r="D3314" s="13" t="s">
        <v>908</v>
      </c>
      <c r="E3314" s="13" t="s">
        <v>426</v>
      </c>
      <c r="F3314" s="13"/>
    </row>
    <row r="3315">
      <c r="D3315" s="13" t="s">
        <v>758</v>
      </c>
      <c r="E3315" s="13" t="s">
        <v>2069</v>
      </c>
      <c r="F3315" s="13"/>
    </row>
    <row r="3316">
      <c r="D3316" s="13" t="s">
        <v>2090</v>
      </c>
      <c r="E3316" s="13">
        <v>4.0</v>
      </c>
      <c r="F3316" s="13"/>
    </row>
    <row r="3317">
      <c r="D3317" s="13"/>
      <c r="E3317" s="13"/>
      <c r="F3317" s="13"/>
    </row>
    <row r="3318">
      <c r="C3318" s="13" t="s">
        <v>463</v>
      </c>
      <c r="D3318" s="13" t="s">
        <v>558</v>
      </c>
      <c r="E3318" s="13" t="s">
        <v>1039</v>
      </c>
      <c r="F3318" s="13">
        <f>5*4600</f>
        <v>23000</v>
      </c>
    </row>
    <row r="3319">
      <c r="D3319" s="13" t="s">
        <v>842</v>
      </c>
      <c r="E3319" s="13" t="s">
        <v>426</v>
      </c>
      <c r="F3319" s="13"/>
    </row>
    <row r="3320">
      <c r="D3320" s="13" t="s">
        <v>2091</v>
      </c>
      <c r="E3320" s="13">
        <v>1.0</v>
      </c>
      <c r="F3320" s="13"/>
    </row>
    <row r="3321">
      <c r="D3321" s="13" t="s">
        <v>2092</v>
      </c>
      <c r="E3321" s="13">
        <v>1.0</v>
      </c>
      <c r="F3321" s="13"/>
    </row>
    <row r="3322">
      <c r="D3322" s="13" t="s">
        <v>2093</v>
      </c>
      <c r="E3322" s="13">
        <v>2.0</v>
      </c>
      <c r="F3322" s="13"/>
    </row>
    <row r="3323">
      <c r="D3323" s="13" t="s">
        <v>955</v>
      </c>
      <c r="E3323" s="13" t="s">
        <v>429</v>
      </c>
      <c r="F3323" s="13"/>
    </row>
    <row r="3324">
      <c r="D3324" s="13" t="s">
        <v>1739</v>
      </c>
      <c r="E3324" s="13">
        <v>2.0</v>
      </c>
      <c r="F3324" s="13">
        <v>0.0</v>
      </c>
    </row>
    <row r="3325">
      <c r="D3325" s="13" t="s">
        <v>607</v>
      </c>
      <c r="E3325" s="13" t="s">
        <v>426</v>
      </c>
      <c r="F3325" s="13"/>
    </row>
    <row r="3326">
      <c r="D3326" s="13" t="s">
        <v>551</v>
      </c>
      <c r="E3326" s="13" t="s">
        <v>434</v>
      </c>
      <c r="F3326" s="13"/>
    </row>
    <row r="3327">
      <c r="D3327" s="13" t="s">
        <v>1101</v>
      </c>
      <c r="E3327" s="13" t="s">
        <v>426</v>
      </c>
      <c r="F3327" s="13"/>
    </row>
    <row r="3328">
      <c r="D3328" s="13" t="s">
        <v>1128</v>
      </c>
      <c r="E3328" s="13" t="s">
        <v>426</v>
      </c>
      <c r="F3328" s="13"/>
    </row>
    <row r="3329">
      <c r="D3329" s="13" t="s">
        <v>444</v>
      </c>
      <c r="E3329" s="13" t="s">
        <v>426</v>
      </c>
      <c r="F3329" s="13"/>
    </row>
    <row r="3330">
      <c r="D3330" s="13" t="s">
        <v>605</v>
      </c>
      <c r="E3330" s="13" t="s">
        <v>426</v>
      </c>
      <c r="F3330" s="13"/>
    </row>
    <row r="3331">
      <c r="D3331" s="13" t="s">
        <v>602</v>
      </c>
      <c r="E3331" s="13" t="s">
        <v>429</v>
      </c>
      <c r="F3331" s="13"/>
    </row>
    <row r="3332">
      <c r="D3332" s="13"/>
      <c r="E3332" s="13"/>
      <c r="F3332" s="13"/>
    </row>
    <row r="3333">
      <c r="D3333" s="13"/>
      <c r="E3333" s="13"/>
      <c r="F3333" s="13"/>
    </row>
    <row r="3334">
      <c r="A3334" s="13" t="s">
        <v>521</v>
      </c>
      <c r="B3334" s="13" t="s">
        <v>1901</v>
      </c>
      <c r="C3334" s="13" t="s">
        <v>2094</v>
      </c>
      <c r="D3334" s="13" t="s">
        <v>2095</v>
      </c>
      <c r="E3334" s="13">
        <v>1.0</v>
      </c>
      <c r="F3334" s="13">
        <v>1700.0</v>
      </c>
    </row>
    <row r="3335">
      <c r="D3335" s="13" t="s">
        <v>574</v>
      </c>
      <c r="E3335" s="13" t="s">
        <v>426</v>
      </c>
      <c r="F3335" s="13">
        <v>0.0</v>
      </c>
    </row>
    <row r="3336">
      <c r="D3336" s="13" t="s">
        <v>826</v>
      </c>
      <c r="E3336" s="13" t="s">
        <v>426</v>
      </c>
      <c r="F3336" s="13">
        <v>15600.0</v>
      </c>
    </row>
    <row r="3337">
      <c r="D3337" s="13" t="s">
        <v>1028</v>
      </c>
      <c r="E3337" s="13" t="s">
        <v>426</v>
      </c>
      <c r="F3337" s="13">
        <v>14000.0</v>
      </c>
    </row>
    <row r="3338">
      <c r="D3338" s="13" t="s">
        <v>2032</v>
      </c>
      <c r="F3338" s="13">
        <f>SUM(F3334:F3337)</f>
        <v>31300</v>
      </c>
    </row>
    <row r="3339">
      <c r="F3339" s="13"/>
    </row>
    <row r="3340">
      <c r="B3340" s="13" t="s">
        <v>1901</v>
      </c>
      <c r="C3340" s="13" t="s">
        <v>741</v>
      </c>
      <c r="D3340" s="13" t="s">
        <v>1281</v>
      </c>
      <c r="E3340" s="13" t="s">
        <v>1024</v>
      </c>
      <c r="F3340" s="13">
        <v>4350.0</v>
      </c>
    </row>
    <row r="3341">
      <c r="D3341" s="13" t="s">
        <v>595</v>
      </c>
      <c r="E3341" s="13" t="s">
        <v>2096</v>
      </c>
      <c r="F3341" s="13">
        <f>3*4600</f>
        <v>13800</v>
      </c>
    </row>
    <row r="3342">
      <c r="D3342" s="13" t="s">
        <v>1181</v>
      </c>
      <c r="E3342" s="13" t="s">
        <v>426</v>
      </c>
      <c r="F3342" s="13">
        <v>3500.0</v>
      </c>
    </row>
    <row r="3343">
      <c r="D3343" s="13" t="s">
        <v>2097</v>
      </c>
      <c r="E3343" s="13" t="s">
        <v>426</v>
      </c>
      <c r="F3343" s="13">
        <v>1300.0</v>
      </c>
    </row>
    <row r="3344">
      <c r="D3344" s="13" t="s">
        <v>607</v>
      </c>
      <c r="E3344" s="13" t="s">
        <v>426</v>
      </c>
      <c r="F3344" s="13">
        <v>9300.0</v>
      </c>
    </row>
    <row r="3345">
      <c r="D3345" s="13" t="s">
        <v>2098</v>
      </c>
      <c r="E3345" s="13" t="s">
        <v>1024</v>
      </c>
      <c r="F3345" s="13">
        <v>5000.0</v>
      </c>
    </row>
    <row r="3346">
      <c r="D3346" s="13" t="s">
        <v>1238</v>
      </c>
      <c r="E3346" s="13" t="s">
        <v>1024</v>
      </c>
      <c r="F3346" s="13">
        <v>1150.0</v>
      </c>
    </row>
    <row r="3347">
      <c r="F3347" s="13"/>
    </row>
    <row r="3348">
      <c r="F3348" s="13"/>
    </row>
    <row r="3349">
      <c r="A3349" s="13" t="s">
        <v>2099</v>
      </c>
      <c r="B3349" s="13" t="s">
        <v>1901</v>
      </c>
      <c r="C3349" s="13" t="s">
        <v>825</v>
      </c>
      <c r="D3349" s="13" t="s">
        <v>1337</v>
      </c>
      <c r="E3349" s="13" t="s">
        <v>426</v>
      </c>
      <c r="F3349" s="13">
        <v>4100.0</v>
      </c>
    </row>
    <row r="3350">
      <c r="D3350" s="13" t="s">
        <v>1522</v>
      </c>
      <c r="E3350" s="13">
        <v>1.0</v>
      </c>
      <c r="F3350" s="13">
        <v>0.0</v>
      </c>
    </row>
    <row r="3351">
      <c r="D3351" s="13" t="s">
        <v>1178</v>
      </c>
      <c r="E3351" s="13" t="s">
        <v>426</v>
      </c>
      <c r="F3351" s="13">
        <v>0.0</v>
      </c>
    </row>
    <row r="3352">
      <c r="D3352" s="13" t="s">
        <v>2100</v>
      </c>
      <c r="E3352" s="13">
        <v>2.0</v>
      </c>
      <c r="F3352" s="13">
        <v>10000.0</v>
      </c>
    </row>
    <row r="3353">
      <c r="D3353" s="13" t="s">
        <v>444</v>
      </c>
      <c r="E3353" s="13" t="s">
        <v>426</v>
      </c>
      <c r="F3353" s="13">
        <v>13000.0</v>
      </c>
    </row>
    <row r="3354">
      <c r="D3354" s="13" t="s">
        <v>551</v>
      </c>
      <c r="E3354" s="13" t="s">
        <v>426</v>
      </c>
      <c r="F3354" s="13">
        <v>23000.0</v>
      </c>
    </row>
    <row r="3355">
      <c r="D3355" s="13" t="s">
        <v>2101</v>
      </c>
      <c r="E3355" s="13">
        <v>1.0</v>
      </c>
      <c r="F3355" s="13">
        <v>3500.0</v>
      </c>
    </row>
    <row r="3356">
      <c r="D3356" s="13" t="s">
        <v>826</v>
      </c>
      <c r="E3356" s="13" t="s">
        <v>426</v>
      </c>
      <c r="F3356" s="13">
        <v>15600.0</v>
      </c>
    </row>
    <row r="3358">
      <c r="F3358" s="13"/>
    </row>
    <row r="3359">
      <c r="B3359" s="13" t="s">
        <v>1901</v>
      </c>
      <c r="F3359" s="13"/>
    </row>
    <row r="3360">
      <c r="C3360" s="13" t="s">
        <v>1883</v>
      </c>
      <c r="D3360" s="13" t="s">
        <v>822</v>
      </c>
      <c r="E3360" s="13" t="s">
        <v>426</v>
      </c>
      <c r="F3360" s="13">
        <v>20500.0</v>
      </c>
    </row>
    <row r="3361">
      <c r="D3361" s="13" t="s">
        <v>2102</v>
      </c>
      <c r="E3361" s="13" t="s">
        <v>2103</v>
      </c>
      <c r="F3361" s="13">
        <v>30000.0</v>
      </c>
    </row>
    <row r="3362">
      <c r="D3362" s="13" t="s">
        <v>881</v>
      </c>
      <c r="E3362" s="13" t="s">
        <v>2104</v>
      </c>
      <c r="F3362" s="13">
        <v>11500.0</v>
      </c>
    </row>
    <row r="3363">
      <c r="D3363" s="13" t="s">
        <v>607</v>
      </c>
      <c r="E3363" s="13" t="s">
        <v>426</v>
      </c>
      <c r="F3363" s="13">
        <v>9300.0</v>
      </c>
    </row>
    <row r="3364">
      <c r="D3364" s="13" t="s">
        <v>2105</v>
      </c>
      <c r="E3364" s="13" t="s">
        <v>426</v>
      </c>
      <c r="F3364" s="13">
        <v>3000.0</v>
      </c>
    </row>
    <row r="3365">
      <c r="D3365" s="13" t="s">
        <v>2106</v>
      </c>
      <c r="E3365" s="13">
        <v>1.0</v>
      </c>
      <c r="F3365" s="13">
        <v>2100.0</v>
      </c>
    </row>
    <row r="3367">
      <c r="C3367" s="13"/>
      <c r="D3367" s="13"/>
      <c r="E3367" s="13"/>
      <c r="F3367" s="13"/>
    </row>
    <row r="3368">
      <c r="C3368" s="13"/>
      <c r="D3368" s="13"/>
      <c r="E3368" s="13"/>
      <c r="F3368" s="13"/>
    </row>
    <row r="3369">
      <c r="A3369" s="13" t="s">
        <v>2107</v>
      </c>
      <c r="C3369" s="13" t="s">
        <v>542</v>
      </c>
      <c r="D3369" s="13" t="s">
        <v>764</v>
      </c>
      <c r="E3369" s="13" t="s">
        <v>727</v>
      </c>
      <c r="F3369" s="13">
        <v>8750.0</v>
      </c>
    </row>
    <row r="3370">
      <c r="D3370" s="13" t="s">
        <v>881</v>
      </c>
      <c r="E3370" s="13" t="s">
        <v>727</v>
      </c>
      <c r="F3370" s="13">
        <v>9350.0</v>
      </c>
    </row>
    <row r="3371">
      <c r="D3371" s="13" t="s">
        <v>549</v>
      </c>
      <c r="E3371" s="13" t="s">
        <v>426</v>
      </c>
      <c r="F3371" s="13">
        <v>15300.0</v>
      </c>
    </row>
    <row r="3372">
      <c r="D3372" s="13" t="s">
        <v>558</v>
      </c>
      <c r="E3372" s="13" t="s">
        <v>429</v>
      </c>
      <c r="F3372" s="13">
        <f>3400*2</f>
        <v>6800</v>
      </c>
    </row>
    <row r="3373">
      <c r="E3373" s="13"/>
      <c r="F3373" s="13"/>
    </row>
    <row r="3374">
      <c r="B3374" s="103" t="s">
        <v>1801</v>
      </c>
      <c r="C3374" s="103" t="s">
        <v>714</v>
      </c>
      <c r="D3374" s="13" t="s">
        <v>924</v>
      </c>
      <c r="E3374" s="13" t="s">
        <v>426</v>
      </c>
      <c r="F3374" s="13"/>
    </row>
    <row r="3375">
      <c r="D3375" s="13" t="s">
        <v>2108</v>
      </c>
      <c r="E3375" s="13">
        <v>6.0</v>
      </c>
      <c r="F3375" s="13"/>
    </row>
    <row r="3376">
      <c r="F3376" s="13"/>
    </row>
    <row r="3377">
      <c r="C3377" s="13" t="s">
        <v>2109</v>
      </c>
      <c r="D3377" s="13" t="s">
        <v>595</v>
      </c>
      <c r="E3377" s="13" t="s">
        <v>426</v>
      </c>
      <c r="F3377" s="13"/>
    </row>
    <row r="3378">
      <c r="F3378" s="13"/>
    </row>
    <row r="3379">
      <c r="F3379" s="13"/>
    </row>
    <row r="3380">
      <c r="A3380" s="78">
        <v>46139.0</v>
      </c>
      <c r="B3380" s="13" t="s">
        <v>1901</v>
      </c>
      <c r="C3380" s="13" t="s">
        <v>2110</v>
      </c>
      <c r="D3380" s="13" t="s">
        <v>2111</v>
      </c>
      <c r="E3380" s="13">
        <v>1.0</v>
      </c>
      <c r="F3380" s="13">
        <v>13900.0</v>
      </c>
    </row>
    <row r="3381">
      <c r="D3381" s="13" t="s">
        <v>1337</v>
      </c>
      <c r="E3381" s="13" t="s">
        <v>426</v>
      </c>
      <c r="F3381" s="13">
        <v>4100.0</v>
      </c>
    </row>
    <row r="3382">
      <c r="D3382" s="13" t="s">
        <v>2112</v>
      </c>
      <c r="E3382" s="13">
        <v>1.0</v>
      </c>
      <c r="F3382" s="13">
        <v>1000.0</v>
      </c>
    </row>
    <row r="3383">
      <c r="F3383" s="13"/>
    </row>
    <row r="3384">
      <c r="F3384" s="13"/>
    </row>
    <row r="3385">
      <c r="F3385" s="13"/>
    </row>
    <row r="3386">
      <c r="F3386" s="13"/>
    </row>
    <row r="3387">
      <c r="F3387" s="13"/>
    </row>
    <row r="3388">
      <c r="B3388" s="103" t="s">
        <v>1801</v>
      </c>
      <c r="C3388" s="103" t="s">
        <v>2113</v>
      </c>
      <c r="D3388" s="13" t="s">
        <v>777</v>
      </c>
      <c r="E3388" s="13" t="s">
        <v>1039</v>
      </c>
      <c r="F3388" s="13"/>
    </row>
    <row r="3389">
      <c r="D3389" s="13" t="s">
        <v>1668</v>
      </c>
      <c r="E3389" s="13" t="s">
        <v>426</v>
      </c>
      <c r="F3389" s="13"/>
    </row>
    <row r="3390">
      <c r="D3390" s="13" t="s">
        <v>1157</v>
      </c>
      <c r="E3390" s="13" t="s">
        <v>429</v>
      </c>
      <c r="F3390" s="13"/>
    </row>
    <row r="3391">
      <c r="D3391" s="13" t="s">
        <v>597</v>
      </c>
      <c r="E3391" s="13" t="s">
        <v>426</v>
      </c>
      <c r="F3391" s="13"/>
    </row>
    <row r="3392">
      <c r="D3392" s="13" t="s">
        <v>1181</v>
      </c>
      <c r="E3392" s="13" t="s">
        <v>426</v>
      </c>
      <c r="F3392" s="13"/>
    </row>
    <row r="3393">
      <c r="D3393" s="13" t="s">
        <v>1197</v>
      </c>
      <c r="E3393" s="13" t="s">
        <v>426</v>
      </c>
      <c r="F3393" s="13"/>
    </row>
    <row r="3394">
      <c r="D3394" s="13" t="s">
        <v>2114</v>
      </c>
      <c r="E3394" s="13" t="s">
        <v>426</v>
      </c>
      <c r="F3394" s="13"/>
    </row>
    <row r="3395">
      <c r="F3395" s="13"/>
    </row>
    <row r="3396">
      <c r="F3396" s="13"/>
    </row>
    <row r="3397">
      <c r="B3397" s="13" t="s">
        <v>1901</v>
      </c>
      <c r="C3397" s="13" t="s">
        <v>2115</v>
      </c>
      <c r="D3397" s="13" t="s">
        <v>908</v>
      </c>
      <c r="E3397" s="13" t="s">
        <v>814</v>
      </c>
      <c r="F3397" s="13"/>
    </row>
    <row r="3398">
      <c r="F3398" s="13"/>
    </row>
    <row r="3399">
      <c r="F3399" s="13"/>
    </row>
    <row r="3400">
      <c r="B3400" s="13" t="s">
        <v>1901</v>
      </c>
      <c r="C3400" s="13" t="s">
        <v>1172</v>
      </c>
      <c r="D3400" s="13" t="s">
        <v>549</v>
      </c>
      <c r="E3400" s="13" t="s">
        <v>426</v>
      </c>
      <c r="F3400" s="13"/>
    </row>
    <row r="3401">
      <c r="F3401" s="13"/>
    </row>
    <row r="3402">
      <c r="F3402" s="13"/>
    </row>
    <row r="3403">
      <c r="B3403" s="13" t="s">
        <v>1901</v>
      </c>
      <c r="C3403" s="13" t="s">
        <v>943</v>
      </c>
      <c r="D3403" s="13" t="s">
        <v>1522</v>
      </c>
      <c r="E3403" s="13">
        <v>2.0</v>
      </c>
      <c r="F3403" s="13"/>
    </row>
    <row r="3404">
      <c r="D3404" s="13" t="s">
        <v>2116</v>
      </c>
      <c r="E3404" s="13" t="s">
        <v>426</v>
      </c>
      <c r="F3404" s="13"/>
    </row>
    <row r="3405">
      <c r="F3405" s="13"/>
    </row>
    <row r="3406">
      <c r="F3406" s="13"/>
    </row>
    <row r="3407">
      <c r="C3407" s="13" t="s">
        <v>497</v>
      </c>
      <c r="D3407" s="13" t="s">
        <v>630</v>
      </c>
      <c r="E3407" s="13" t="s">
        <v>426</v>
      </c>
      <c r="F3407" s="13"/>
    </row>
    <row r="3408">
      <c r="D3408" s="13" t="s">
        <v>543</v>
      </c>
      <c r="E3408" s="13" t="s">
        <v>426</v>
      </c>
      <c r="F3408" s="13"/>
    </row>
    <row r="3409">
      <c r="F3409" s="13"/>
    </row>
    <row r="3410">
      <c r="F3410" s="13"/>
    </row>
    <row r="3411">
      <c r="B3411" s="13" t="s">
        <v>1901</v>
      </c>
      <c r="C3411" s="13" t="s">
        <v>472</v>
      </c>
      <c r="D3411" s="13" t="s">
        <v>558</v>
      </c>
      <c r="E3411" s="13" t="s">
        <v>429</v>
      </c>
      <c r="F3411" s="13"/>
    </row>
    <row r="3412">
      <c r="D3412" s="13" t="s">
        <v>607</v>
      </c>
      <c r="E3412" s="13" t="s">
        <v>426</v>
      </c>
      <c r="F3412" s="13"/>
    </row>
    <row r="3413">
      <c r="F3413" s="13"/>
    </row>
    <row r="3414">
      <c r="F3414" s="13"/>
    </row>
    <row r="3415">
      <c r="F3415" s="13"/>
    </row>
    <row r="3416">
      <c r="B3416" s="13" t="s">
        <v>1901</v>
      </c>
      <c r="C3416" s="13" t="s">
        <v>1635</v>
      </c>
      <c r="D3416" s="13" t="s">
        <v>583</v>
      </c>
      <c r="E3416" s="13" t="s">
        <v>426</v>
      </c>
      <c r="F3416" s="13"/>
    </row>
    <row r="3417">
      <c r="D3417" s="13" t="s">
        <v>659</v>
      </c>
      <c r="E3417" s="13" t="s">
        <v>426</v>
      </c>
      <c r="F3417" s="13"/>
    </row>
    <row r="3418">
      <c r="F3418" s="13"/>
    </row>
    <row r="3419">
      <c r="F3419" s="13"/>
    </row>
    <row r="3420">
      <c r="B3420" s="13" t="s">
        <v>1901</v>
      </c>
      <c r="C3420" s="13" t="s">
        <v>2117</v>
      </c>
      <c r="D3420" s="13" t="s">
        <v>1717</v>
      </c>
      <c r="E3420" s="13" t="s">
        <v>426</v>
      </c>
      <c r="F3420" s="13"/>
    </row>
    <row r="3421">
      <c r="D3421" s="13" t="s">
        <v>1028</v>
      </c>
      <c r="E3421" s="13" t="s">
        <v>426</v>
      </c>
      <c r="F3421" s="13"/>
    </row>
    <row r="3422">
      <c r="D3422" s="13" t="s">
        <v>558</v>
      </c>
      <c r="E3422" s="13" t="s">
        <v>429</v>
      </c>
      <c r="F3422" s="13"/>
    </row>
    <row r="3423">
      <c r="D3423" s="13" t="s">
        <v>1717</v>
      </c>
      <c r="E3423" s="13" t="s">
        <v>426</v>
      </c>
      <c r="F3423" s="13"/>
    </row>
    <row r="3424">
      <c r="D3424" s="13" t="s">
        <v>558</v>
      </c>
      <c r="E3424" s="13" t="s">
        <v>426</v>
      </c>
      <c r="F3424" s="13"/>
    </row>
    <row r="3425">
      <c r="F3425" s="13"/>
    </row>
    <row r="3426">
      <c r="F3426" s="13"/>
    </row>
    <row r="3427">
      <c r="A3427" s="13" t="s">
        <v>811</v>
      </c>
      <c r="B3427" s="103" t="s">
        <v>2118</v>
      </c>
      <c r="C3427" s="13" t="s">
        <v>2119</v>
      </c>
      <c r="D3427" s="13" t="s">
        <v>558</v>
      </c>
      <c r="E3427" s="13" t="s">
        <v>1039</v>
      </c>
      <c r="F3427" s="13">
        <v>23000.0</v>
      </c>
    </row>
    <row r="3428">
      <c r="D3428" s="13" t="s">
        <v>2120</v>
      </c>
      <c r="E3428" s="13">
        <v>1.0</v>
      </c>
      <c r="F3428" s="13"/>
    </row>
    <row r="3429">
      <c r="D3429" s="13" t="s">
        <v>2121</v>
      </c>
      <c r="E3429" s="13">
        <v>1.0</v>
      </c>
      <c r="F3429" s="13"/>
    </row>
    <row r="3430">
      <c r="D3430" s="13" t="s">
        <v>2122</v>
      </c>
      <c r="E3430" s="13">
        <v>1.0</v>
      </c>
      <c r="F3430" s="13"/>
    </row>
    <row r="3431">
      <c r="D3431" s="13" t="s">
        <v>2123</v>
      </c>
      <c r="E3431" s="13">
        <v>1.0</v>
      </c>
      <c r="F3431" s="13"/>
    </row>
    <row r="3432">
      <c r="F3432" s="13"/>
    </row>
    <row r="3433">
      <c r="F3433" s="13"/>
    </row>
    <row r="3434">
      <c r="F3434" s="13"/>
    </row>
    <row r="3435">
      <c r="F3435" s="13"/>
    </row>
    <row r="3436">
      <c r="F3436" s="13"/>
    </row>
    <row r="3437">
      <c r="F3437" s="13"/>
    </row>
    <row r="3438">
      <c r="F3438" s="13"/>
    </row>
    <row r="3439">
      <c r="F3439" s="13"/>
    </row>
    <row r="3440">
      <c r="F3440" s="13"/>
    </row>
    <row r="3441">
      <c r="F3441" s="13"/>
    </row>
    <row r="3442">
      <c r="F3442" s="13"/>
    </row>
    <row r="3443">
      <c r="F3443" s="13"/>
    </row>
    <row r="3444">
      <c r="F3444" s="13"/>
    </row>
    <row r="3445">
      <c r="F3445" s="13"/>
    </row>
    <row r="3446">
      <c r="F3446" s="13"/>
    </row>
    <row r="3447">
      <c r="F3447" s="13"/>
    </row>
    <row r="3448">
      <c r="F3448" s="13"/>
    </row>
    <row r="3449">
      <c r="F3449" s="13"/>
    </row>
    <row r="3450">
      <c r="F3450" s="13"/>
    </row>
    <row r="3451">
      <c r="F3451" s="13"/>
    </row>
    <row r="3452">
      <c r="F3452" s="13"/>
    </row>
    <row r="3453">
      <c r="F3453" s="13"/>
    </row>
    <row r="3454">
      <c r="F3454" s="13"/>
    </row>
    <row r="3455">
      <c r="F3455" s="13"/>
    </row>
    <row r="3456">
      <c r="F3456" s="13"/>
    </row>
    <row r="3457">
      <c r="F3457" s="13"/>
    </row>
    <row r="3458">
      <c r="F3458" s="13"/>
    </row>
    <row r="3459">
      <c r="F3459" s="13"/>
    </row>
    <row r="3460">
      <c r="F3460" s="13"/>
    </row>
    <row r="3461">
      <c r="F3461" s="13"/>
    </row>
    <row r="3462">
      <c r="F3462" s="13"/>
    </row>
    <row r="3463">
      <c r="F3463" s="13"/>
    </row>
    <row r="3464">
      <c r="F3464" s="13"/>
    </row>
    <row r="3465">
      <c r="F3465" s="13"/>
    </row>
    <row r="3466">
      <c r="F3466" s="13"/>
    </row>
    <row r="3467">
      <c r="F3467" s="13"/>
    </row>
    <row r="3468">
      <c r="F3468" s="13"/>
    </row>
    <row r="3469">
      <c r="F3469" s="13"/>
    </row>
    <row r="3470">
      <c r="F3470" s="13"/>
    </row>
    <row r="3471">
      <c r="F3471" s="13"/>
    </row>
    <row r="3472">
      <c r="F3472" s="13"/>
    </row>
    <row r="3473">
      <c r="F3473" s="13"/>
    </row>
    <row r="3474">
      <c r="F3474" s="13"/>
    </row>
    <row r="3475">
      <c r="F3475" s="13"/>
    </row>
    <row r="3476">
      <c r="F3476" s="13"/>
    </row>
    <row r="3477">
      <c r="F3477" s="13"/>
    </row>
    <row r="3478">
      <c r="F3478" s="13"/>
    </row>
    <row r="3479">
      <c r="F3479" s="13"/>
    </row>
    <row r="3480">
      <c r="F3480" s="13"/>
    </row>
    <row r="3481">
      <c r="F3481" s="13"/>
    </row>
    <row r="3482">
      <c r="F3482" s="13"/>
    </row>
    <row r="3483">
      <c r="F3483" s="13"/>
    </row>
    <row r="3484">
      <c r="F3484" s="13"/>
    </row>
    <row r="3485">
      <c r="F3485" s="13"/>
    </row>
    <row r="3486">
      <c r="F3486" s="13"/>
    </row>
    <row r="3487">
      <c r="F3487" s="13"/>
    </row>
    <row r="3488">
      <c r="F3488" s="13"/>
    </row>
    <row r="3489">
      <c r="F3489" s="13"/>
    </row>
    <row r="3490">
      <c r="F3490" s="13"/>
    </row>
    <row r="3491">
      <c r="F3491" s="13"/>
    </row>
    <row r="3492">
      <c r="F3492" s="13"/>
    </row>
    <row r="3493">
      <c r="F3493" s="13"/>
    </row>
    <row r="3494">
      <c r="F3494" s="13"/>
    </row>
    <row r="3495">
      <c r="F3495" s="13"/>
    </row>
    <row r="3496">
      <c r="F3496" s="13"/>
    </row>
    <row r="3497">
      <c r="F3497" s="13"/>
    </row>
    <row r="3498">
      <c r="F3498" s="13"/>
    </row>
    <row r="3499">
      <c r="F3499" s="13"/>
    </row>
    <row r="3500">
      <c r="F3500" s="13"/>
    </row>
    <row r="3501">
      <c r="F3501" s="13"/>
    </row>
    <row r="3502">
      <c r="F3502" s="13"/>
    </row>
    <row r="3503">
      <c r="F3503" s="13"/>
    </row>
    <row r="3504">
      <c r="F3504" s="13"/>
    </row>
    <row r="3505">
      <c r="F3505" s="13"/>
    </row>
    <row r="3506">
      <c r="F3506" s="13"/>
    </row>
    <row r="3507">
      <c r="F3507" s="13"/>
    </row>
    <row r="3508">
      <c r="F3508" s="13"/>
    </row>
    <row r="3509">
      <c r="F3509" s="13"/>
    </row>
    <row r="3510">
      <c r="F3510" s="13"/>
    </row>
    <row r="3511">
      <c r="F3511" s="13"/>
    </row>
    <row r="3512">
      <c r="F3512" s="13"/>
    </row>
    <row r="3513">
      <c r="F3513" s="13"/>
    </row>
    <row r="3514">
      <c r="F3514" s="13"/>
    </row>
    <row r="3515">
      <c r="F3515" s="13"/>
    </row>
    <row r="3516">
      <c r="F3516" s="13"/>
    </row>
    <row r="3517">
      <c r="F3517" s="13"/>
    </row>
    <row r="3518">
      <c r="F3518" s="13"/>
    </row>
    <row r="3519">
      <c r="F3519" s="13"/>
    </row>
    <row r="3520">
      <c r="F3520" s="13"/>
    </row>
    <row r="3521">
      <c r="F3521" s="13"/>
    </row>
    <row r="3522">
      <c r="F3522" s="13"/>
    </row>
    <row r="3523">
      <c r="F3523" s="13"/>
    </row>
    <row r="3524">
      <c r="F3524" s="13"/>
    </row>
    <row r="3525">
      <c r="F3525" s="13"/>
    </row>
    <row r="3526">
      <c r="F3526" s="13"/>
    </row>
    <row r="3527">
      <c r="F3527" s="13"/>
    </row>
    <row r="3528">
      <c r="F3528" s="13"/>
    </row>
    <row r="3529">
      <c r="F3529" s="13"/>
    </row>
    <row r="3530">
      <c r="F3530" s="13"/>
    </row>
    <row r="3531">
      <c r="F3531" s="13"/>
    </row>
    <row r="3532">
      <c r="F3532" s="13"/>
    </row>
    <row r="3533">
      <c r="F3533" s="13"/>
    </row>
    <row r="3534">
      <c r="F3534" s="13"/>
    </row>
    <row r="3535">
      <c r="F3535" s="13"/>
    </row>
    <row r="3536">
      <c r="F3536" s="13"/>
    </row>
    <row r="3537">
      <c r="F3537" s="13"/>
    </row>
    <row r="3538">
      <c r="F3538" s="13"/>
    </row>
    <row r="3539">
      <c r="F3539" s="13"/>
    </row>
    <row r="3540">
      <c r="F3540" s="13"/>
    </row>
    <row r="3541">
      <c r="F3541" s="13"/>
    </row>
    <row r="3542">
      <c r="F3542" s="13"/>
    </row>
    <row r="3543">
      <c r="F3543" s="13"/>
    </row>
    <row r="3544">
      <c r="F3544" s="13"/>
    </row>
    <row r="3545">
      <c r="F3545" s="13"/>
    </row>
    <row r="3546">
      <c r="F3546" s="13"/>
    </row>
    <row r="3547">
      <c r="F3547" s="13"/>
    </row>
    <row r="3548">
      <c r="F3548" s="13"/>
    </row>
    <row r="3549">
      <c r="F3549" s="13"/>
    </row>
    <row r="3550">
      <c r="F3550" s="13"/>
    </row>
    <row r="3551">
      <c r="F3551" s="13"/>
    </row>
    <row r="3552">
      <c r="F3552" s="13"/>
    </row>
    <row r="3553">
      <c r="F3553" s="13"/>
    </row>
    <row r="3554">
      <c r="F3554" s="13"/>
    </row>
    <row r="3555">
      <c r="F3555" s="13"/>
    </row>
    <row r="3556">
      <c r="F3556" s="13"/>
    </row>
    <row r="3557">
      <c r="F3557" s="13"/>
    </row>
    <row r="3558">
      <c r="F3558" s="13"/>
    </row>
    <row r="3559">
      <c r="F3559" s="13"/>
    </row>
    <row r="3560">
      <c r="F3560" s="13"/>
    </row>
    <row r="3561">
      <c r="F3561" s="13"/>
    </row>
    <row r="3562">
      <c r="F3562" s="13"/>
    </row>
    <row r="3563">
      <c r="F3563" s="13"/>
    </row>
    <row r="3564">
      <c r="F3564" s="13"/>
    </row>
    <row r="3565">
      <c r="F3565" s="13"/>
    </row>
    <row r="3566">
      <c r="F3566" s="13"/>
    </row>
    <row r="3567">
      <c r="F3567" s="13"/>
    </row>
    <row r="3568">
      <c r="F3568" s="13"/>
    </row>
    <row r="3569">
      <c r="F3569" s="13"/>
    </row>
    <row r="3570">
      <c r="F3570" s="13"/>
    </row>
    <row r="3571">
      <c r="F3571" s="13"/>
    </row>
    <row r="3572">
      <c r="F3572" s="13"/>
    </row>
    <row r="3573">
      <c r="F3573" s="13"/>
    </row>
    <row r="3574">
      <c r="F3574" s="13"/>
    </row>
    <row r="3575">
      <c r="F3575" s="13"/>
    </row>
    <row r="3576">
      <c r="F3576" s="13"/>
    </row>
    <row r="3577">
      <c r="F3577" s="13"/>
    </row>
    <row r="3578">
      <c r="F3578" s="13"/>
    </row>
    <row r="3579">
      <c r="F3579" s="13"/>
    </row>
    <row r="3580">
      <c r="F3580" s="13"/>
    </row>
    <row r="3581">
      <c r="F3581" s="13"/>
    </row>
    <row r="3582">
      <c r="F3582" s="13"/>
    </row>
    <row r="3583">
      <c r="F3583" s="13"/>
    </row>
    <row r="3584">
      <c r="F3584" s="13"/>
    </row>
    <row r="3585">
      <c r="F3585" s="13"/>
    </row>
    <row r="3586">
      <c r="F3586" s="13"/>
    </row>
    <row r="3587">
      <c r="F3587" s="13"/>
    </row>
    <row r="3588">
      <c r="F3588" s="13"/>
    </row>
    <row r="3589">
      <c r="F3589" s="13"/>
    </row>
    <row r="3590">
      <c r="F3590" s="13"/>
    </row>
    <row r="3591">
      <c r="F3591" s="13"/>
    </row>
    <row r="3592">
      <c r="F3592" s="13"/>
    </row>
    <row r="3593">
      <c r="F3593" s="13"/>
    </row>
    <row r="3594">
      <c r="F3594" s="13"/>
    </row>
    <row r="3595">
      <c r="F3595" s="13"/>
    </row>
    <row r="3596">
      <c r="F3596" s="13"/>
    </row>
    <row r="3597">
      <c r="F3597" s="13"/>
    </row>
    <row r="3598">
      <c r="F3598" s="13"/>
    </row>
    <row r="3599">
      <c r="F3599" s="13"/>
    </row>
    <row r="3600">
      <c r="F3600" s="13"/>
    </row>
    <row r="3601">
      <c r="F3601" s="13"/>
    </row>
    <row r="3602">
      <c r="F3602" s="13"/>
    </row>
    <row r="3603">
      <c r="F3603" s="13"/>
    </row>
    <row r="3604">
      <c r="F3604" s="13"/>
    </row>
    <row r="3605">
      <c r="F3605" s="13"/>
    </row>
    <row r="3606">
      <c r="F3606" s="13"/>
    </row>
    <row r="3607">
      <c r="F3607" s="13"/>
    </row>
    <row r="3608">
      <c r="F3608" s="13"/>
    </row>
    <row r="3609">
      <c r="F3609" s="13"/>
    </row>
    <row r="3610">
      <c r="F3610" s="13"/>
    </row>
    <row r="3611">
      <c r="F3611" s="13"/>
    </row>
    <row r="3612">
      <c r="F3612" s="13"/>
    </row>
    <row r="3613">
      <c r="F3613" s="13"/>
    </row>
    <row r="3614">
      <c r="F3614" s="13"/>
    </row>
    <row r="3615">
      <c r="F3615" s="13"/>
    </row>
    <row r="3616">
      <c r="F3616" s="13"/>
    </row>
    <row r="3617">
      <c r="F3617" s="13"/>
    </row>
    <row r="3618">
      <c r="F3618" s="13"/>
    </row>
    <row r="3619">
      <c r="F3619" s="13"/>
    </row>
    <row r="3620">
      <c r="F3620" s="13"/>
    </row>
    <row r="3621">
      <c r="F3621" s="13"/>
    </row>
    <row r="3622">
      <c r="F3622" s="13"/>
    </row>
    <row r="3623">
      <c r="F3623" s="13"/>
    </row>
    <row r="3624">
      <c r="F3624" s="13"/>
    </row>
    <row r="3625">
      <c r="F3625" s="13"/>
    </row>
    <row r="3626">
      <c r="F3626" s="13"/>
    </row>
    <row r="3627">
      <c r="F3627" s="13"/>
    </row>
    <row r="3628">
      <c r="F3628" s="13"/>
    </row>
    <row r="3629">
      <c r="F3629" s="13"/>
    </row>
    <row r="3630">
      <c r="F3630" s="13"/>
    </row>
    <row r="3631">
      <c r="F3631" s="13"/>
    </row>
    <row r="3632">
      <c r="F3632" s="13"/>
    </row>
    <row r="3633">
      <c r="F3633" s="13"/>
    </row>
    <row r="3634">
      <c r="F3634" s="13"/>
    </row>
    <row r="3635">
      <c r="F3635" s="13"/>
    </row>
    <row r="3636">
      <c r="F3636" s="13"/>
    </row>
    <row r="3637">
      <c r="F3637" s="13"/>
    </row>
    <row r="3638">
      <c r="F3638" s="13"/>
    </row>
    <row r="3639">
      <c r="F3639" s="13"/>
    </row>
    <row r="3640">
      <c r="F3640" s="13"/>
    </row>
    <row r="3641">
      <c r="F3641" s="13"/>
    </row>
    <row r="3642">
      <c r="F3642" s="13"/>
    </row>
    <row r="3643">
      <c r="F3643" s="13"/>
    </row>
    <row r="3644">
      <c r="F3644" s="13"/>
    </row>
    <row r="3645">
      <c r="F3645" s="13"/>
    </row>
    <row r="3646">
      <c r="F3646" s="13"/>
    </row>
    <row r="3647">
      <c r="F3647" s="13"/>
    </row>
    <row r="3648">
      <c r="F3648" s="13"/>
    </row>
    <row r="3649">
      <c r="F3649" s="13"/>
    </row>
    <row r="3650">
      <c r="F3650" s="13"/>
    </row>
    <row r="3651">
      <c r="F3651" s="13"/>
    </row>
    <row r="3652">
      <c r="F3652" s="13"/>
    </row>
    <row r="3653">
      <c r="F3653" s="13"/>
    </row>
    <row r="3654">
      <c r="F3654" s="13"/>
    </row>
    <row r="3655">
      <c r="F3655" s="13"/>
    </row>
    <row r="3656">
      <c r="F3656" s="13"/>
    </row>
    <row r="3657">
      <c r="F3657" s="13"/>
    </row>
    <row r="3658">
      <c r="F3658" s="13"/>
    </row>
    <row r="3659">
      <c r="F3659" s="13"/>
    </row>
    <row r="3660">
      <c r="F3660" s="13"/>
    </row>
    <row r="3661">
      <c r="F3661" s="13"/>
    </row>
    <row r="3662">
      <c r="F3662" s="13"/>
    </row>
    <row r="3663">
      <c r="F3663" s="13"/>
    </row>
    <row r="3664">
      <c r="F3664" s="13"/>
    </row>
    <row r="3665">
      <c r="F3665" s="13"/>
    </row>
    <row r="3666">
      <c r="F3666" s="13"/>
    </row>
    <row r="3667">
      <c r="F3667" s="13"/>
    </row>
    <row r="3668">
      <c r="F3668" s="13"/>
    </row>
    <row r="3669">
      <c r="F3669" s="13"/>
    </row>
    <row r="3670">
      <c r="F3670" s="13"/>
    </row>
    <row r="3671">
      <c r="F3671" s="13"/>
    </row>
    <row r="3672">
      <c r="F3672" s="13"/>
    </row>
    <row r="3673">
      <c r="F3673" s="13"/>
    </row>
    <row r="3674">
      <c r="F3674" s="13"/>
    </row>
    <row r="3675">
      <c r="F3675" s="13"/>
    </row>
    <row r="3676">
      <c r="F3676" s="13"/>
    </row>
    <row r="3677">
      <c r="F3677" s="13"/>
    </row>
    <row r="3678">
      <c r="F3678" s="13"/>
    </row>
    <row r="3679">
      <c r="F3679" s="13"/>
    </row>
    <row r="3680">
      <c r="F3680" s="13"/>
    </row>
    <row r="3681">
      <c r="F3681" s="13"/>
    </row>
    <row r="3682">
      <c r="F3682" s="13"/>
    </row>
    <row r="3683">
      <c r="F3683" s="13"/>
    </row>
    <row r="3684">
      <c r="F3684" s="13"/>
    </row>
    <row r="3685">
      <c r="F3685" s="13"/>
    </row>
    <row r="3686">
      <c r="F3686" s="13"/>
    </row>
    <row r="3687">
      <c r="F3687" s="13"/>
    </row>
    <row r="3688">
      <c r="F3688" s="13"/>
    </row>
    <row r="3689">
      <c r="F3689" s="13"/>
    </row>
    <row r="3690">
      <c r="F3690" s="13"/>
    </row>
    <row r="3691">
      <c r="F3691" s="13"/>
    </row>
    <row r="3692">
      <c r="F3692" s="13"/>
    </row>
    <row r="3693">
      <c r="F3693" s="13"/>
    </row>
    <row r="3694">
      <c r="F3694" s="13"/>
    </row>
    <row r="3695">
      <c r="F3695" s="13"/>
    </row>
    <row r="3696">
      <c r="F3696" s="13"/>
    </row>
    <row r="3697">
      <c r="F3697" s="13"/>
    </row>
    <row r="3698">
      <c r="F3698" s="13"/>
    </row>
    <row r="3699">
      <c r="F3699" s="13"/>
    </row>
    <row r="3700">
      <c r="F3700" s="13"/>
    </row>
    <row r="3701">
      <c r="F3701" s="13"/>
    </row>
    <row r="3702">
      <c r="F3702" s="13"/>
    </row>
    <row r="3703">
      <c r="F3703" s="13"/>
    </row>
    <row r="3704">
      <c r="F3704" s="13"/>
    </row>
    <row r="3705">
      <c r="F3705" s="13"/>
    </row>
    <row r="3706">
      <c r="F3706" s="13"/>
    </row>
    <row r="3707">
      <c r="F3707" s="13"/>
    </row>
    <row r="3708">
      <c r="F3708" s="13"/>
    </row>
    <row r="3709">
      <c r="F3709" s="13"/>
    </row>
    <row r="3710">
      <c r="F3710" s="13"/>
    </row>
    <row r="3711">
      <c r="F3711" s="13"/>
    </row>
    <row r="3712">
      <c r="F3712" s="13"/>
    </row>
    <row r="3713">
      <c r="F3713" s="13"/>
    </row>
    <row r="3714">
      <c r="F3714" s="13"/>
    </row>
    <row r="3715">
      <c r="F3715" s="13"/>
    </row>
    <row r="3716">
      <c r="F3716" s="13"/>
    </row>
    <row r="3717">
      <c r="F3717" s="13"/>
    </row>
    <row r="3718">
      <c r="F3718" s="13"/>
    </row>
    <row r="3719">
      <c r="F3719" s="13"/>
    </row>
    <row r="3720">
      <c r="F3720" s="13"/>
    </row>
    <row r="3721">
      <c r="F3721" s="13"/>
    </row>
    <row r="3722">
      <c r="F3722" s="13"/>
    </row>
    <row r="3723">
      <c r="F3723" s="13"/>
    </row>
    <row r="3724">
      <c r="F3724" s="13"/>
    </row>
    <row r="3725">
      <c r="F3725" s="13"/>
    </row>
    <row r="3726">
      <c r="F3726" s="13"/>
    </row>
    <row r="3727">
      <c r="F3727" s="13"/>
    </row>
    <row r="3728">
      <c r="F3728" s="13"/>
    </row>
    <row r="3729">
      <c r="F3729" s="13"/>
    </row>
    <row r="3730">
      <c r="F3730" s="13"/>
    </row>
    <row r="3731">
      <c r="F3731" s="13"/>
    </row>
    <row r="3732">
      <c r="F3732" s="13"/>
    </row>
    <row r="3733">
      <c r="F3733" s="13"/>
    </row>
    <row r="3734">
      <c r="F3734" s="13"/>
    </row>
    <row r="3735">
      <c r="F3735" s="13"/>
    </row>
    <row r="3736">
      <c r="F3736" s="13"/>
    </row>
    <row r="3737">
      <c r="F3737" s="13"/>
    </row>
    <row r="3738">
      <c r="F3738" s="13"/>
    </row>
    <row r="3739">
      <c r="F3739" s="13"/>
    </row>
    <row r="3740">
      <c r="F3740" s="13"/>
    </row>
    <row r="3741">
      <c r="F3741" s="13"/>
    </row>
    <row r="3742">
      <c r="F3742" s="13"/>
    </row>
    <row r="3743">
      <c r="F3743" s="13"/>
    </row>
    <row r="3744">
      <c r="F3744" s="13"/>
    </row>
    <row r="3745">
      <c r="F3745" s="13"/>
    </row>
    <row r="3746">
      <c r="F3746" s="13"/>
    </row>
    <row r="3747">
      <c r="F3747" s="13"/>
    </row>
    <row r="3748">
      <c r="F3748" s="13"/>
    </row>
    <row r="3749">
      <c r="F3749" s="13"/>
    </row>
    <row r="3750">
      <c r="F3750" s="13"/>
    </row>
    <row r="3751">
      <c r="F3751" s="13"/>
    </row>
    <row r="3752">
      <c r="F3752" s="13"/>
    </row>
    <row r="3753">
      <c r="F3753" s="13"/>
    </row>
    <row r="3754">
      <c r="F3754" s="13"/>
    </row>
    <row r="3755">
      <c r="F3755" s="13"/>
    </row>
    <row r="3756">
      <c r="F3756" s="13"/>
    </row>
    <row r="3757">
      <c r="F3757" s="13"/>
    </row>
    <row r="3758">
      <c r="F3758" s="13"/>
    </row>
    <row r="3759">
      <c r="F3759" s="13"/>
    </row>
    <row r="3760">
      <c r="F3760" s="13"/>
    </row>
    <row r="3761">
      <c r="F3761" s="13"/>
    </row>
    <row r="3762">
      <c r="F3762" s="13"/>
    </row>
    <row r="3763">
      <c r="F3763" s="13"/>
    </row>
    <row r="3764">
      <c r="F3764" s="13"/>
    </row>
    <row r="3765">
      <c r="F3765" s="13"/>
    </row>
    <row r="3766">
      <c r="F3766" s="13"/>
    </row>
    <row r="3767">
      <c r="F3767" s="13"/>
    </row>
    <row r="3768">
      <c r="F3768" s="13"/>
    </row>
    <row r="3769">
      <c r="F3769" s="13"/>
    </row>
    <row r="3770">
      <c r="F3770" s="13"/>
    </row>
    <row r="3771">
      <c r="F3771" s="13"/>
    </row>
    <row r="3772">
      <c r="F3772" s="13"/>
    </row>
    <row r="3773">
      <c r="F3773" s="13"/>
    </row>
    <row r="3774">
      <c r="F3774" s="13"/>
    </row>
    <row r="3775">
      <c r="F3775" s="13"/>
    </row>
    <row r="3776">
      <c r="F3776" s="13"/>
    </row>
    <row r="3777">
      <c r="F3777" s="13"/>
    </row>
    <row r="3778">
      <c r="F3778" s="13"/>
    </row>
    <row r="3779">
      <c r="F3779" s="13"/>
    </row>
    <row r="3780">
      <c r="F3780" s="13"/>
    </row>
    <row r="3781">
      <c r="F3781" s="13"/>
    </row>
    <row r="3782">
      <c r="F3782" s="13"/>
    </row>
    <row r="3783">
      <c r="F3783" s="13"/>
    </row>
    <row r="3784">
      <c r="F3784" s="13"/>
    </row>
    <row r="3785">
      <c r="F3785" s="13"/>
    </row>
    <row r="3786">
      <c r="F3786" s="13"/>
    </row>
    <row r="3787">
      <c r="F3787" s="13"/>
    </row>
    <row r="3788">
      <c r="F3788" s="13"/>
    </row>
    <row r="3789">
      <c r="F3789" s="13"/>
    </row>
    <row r="3790">
      <c r="F3790" s="13"/>
    </row>
    <row r="3791">
      <c r="F3791" s="13"/>
    </row>
    <row r="3792">
      <c r="F3792" s="13"/>
    </row>
    <row r="3793">
      <c r="F3793" s="13"/>
    </row>
    <row r="3794">
      <c r="F3794" s="13"/>
    </row>
    <row r="3795">
      <c r="F3795" s="13"/>
    </row>
    <row r="3796">
      <c r="F3796" s="13"/>
    </row>
    <row r="3797">
      <c r="F3797" s="13"/>
    </row>
    <row r="3798">
      <c r="F3798" s="13"/>
    </row>
    <row r="3799">
      <c r="F3799" s="13"/>
    </row>
    <row r="3800">
      <c r="F3800" s="13"/>
    </row>
    <row r="3801">
      <c r="F3801" s="13"/>
    </row>
    <row r="3802">
      <c r="F3802" s="13"/>
    </row>
    <row r="3803">
      <c r="F3803" s="13"/>
    </row>
    <row r="3804">
      <c r="F3804" s="13"/>
    </row>
    <row r="3805">
      <c r="F3805" s="13"/>
    </row>
    <row r="3806">
      <c r="F3806" s="13"/>
    </row>
    <row r="3807">
      <c r="F3807" s="13"/>
    </row>
    <row r="3808">
      <c r="F3808" s="13"/>
    </row>
    <row r="3809">
      <c r="F3809" s="13"/>
    </row>
    <row r="3810">
      <c r="F3810" s="13"/>
    </row>
    <row r="3811">
      <c r="F3811" s="13"/>
    </row>
    <row r="3812">
      <c r="F3812" s="13"/>
    </row>
    <row r="3813">
      <c r="F3813" s="13"/>
    </row>
    <row r="3814">
      <c r="F3814" s="13"/>
    </row>
    <row r="3815">
      <c r="F3815" s="13"/>
    </row>
    <row r="3816">
      <c r="F3816" s="13"/>
    </row>
    <row r="3817">
      <c r="F3817" s="13"/>
    </row>
    <row r="3818">
      <c r="F3818" s="13"/>
    </row>
    <row r="3819">
      <c r="F3819" s="13"/>
    </row>
    <row r="3820">
      <c r="F3820" s="13"/>
    </row>
    <row r="3821">
      <c r="F3821" s="13"/>
    </row>
    <row r="3822">
      <c r="F3822" s="13"/>
    </row>
    <row r="3823">
      <c r="F3823" s="13"/>
    </row>
    <row r="3824">
      <c r="F3824" s="13"/>
    </row>
    <row r="3825">
      <c r="F3825" s="13"/>
    </row>
    <row r="3826">
      <c r="F3826" s="13"/>
    </row>
    <row r="3827">
      <c r="F3827" s="13"/>
    </row>
    <row r="3828">
      <c r="F3828" s="13"/>
    </row>
    <row r="3829">
      <c r="F3829" s="13"/>
    </row>
    <row r="3830">
      <c r="F3830" s="13"/>
    </row>
    <row r="3831">
      <c r="F3831" s="13"/>
    </row>
    <row r="3832">
      <c r="F3832" s="13"/>
    </row>
    <row r="3833">
      <c r="F3833" s="13"/>
    </row>
    <row r="3834">
      <c r="F3834" s="13"/>
    </row>
    <row r="3835">
      <c r="F3835" s="13"/>
    </row>
    <row r="3836">
      <c r="F3836" s="13"/>
    </row>
    <row r="3837">
      <c r="F3837" s="13"/>
    </row>
    <row r="3838">
      <c r="F3838" s="13"/>
    </row>
    <row r="3839">
      <c r="F3839" s="13"/>
    </row>
    <row r="3840">
      <c r="F3840" s="13"/>
    </row>
    <row r="3841">
      <c r="F3841" s="13"/>
    </row>
    <row r="3842">
      <c r="F3842" s="13"/>
    </row>
    <row r="3843">
      <c r="F3843" s="13"/>
    </row>
    <row r="3844">
      <c r="F3844" s="13"/>
    </row>
    <row r="3845">
      <c r="F3845" s="13"/>
    </row>
    <row r="3846">
      <c r="F3846" s="13"/>
    </row>
    <row r="3847">
      <c r="F3847" s="13"/>
    </row>
    <row r="3848">
      <c r="F3848" s="13"/>
    </row>
    <row r="3849">
      <c r="F3849" s="13"/>
    </row>
    <row r="3850">
      <c r="F3850" s="13"/>
    </row>
    <row r="3851">
      <c r="F3851" s="13"/>
    </row>
    <row r="3852">
      <c r="F3852" s="13"/>
    </row>
    <row r="3853">
      <c r="F3853" s="13"/>
    </row>
    <row r="3854">
      <c r="F3854" s="13"/>
    </row>
    <row r="3855">
      <c r="F3855" s="13"/>
    </row>
    <row r="3856">
      <c r="F3856" s="13"/>
    </row>
    <row r="3857">
      <c r="F3857" s="13"/>
    </row>
    <row r="3858">
      <c r="F3858" s="13"/>
    </row>
    <row r="3859">
      <c r="F3859" s="13"/>
    </row>
    <row r="3860">
      <c r="F3860" s="13"/>
    </row>
    <row r="3861">
      <c r="F3861" s="13"/>
    </row>
    <row r="3862">
      <c r="F3862" s="13"/>
    </row>
    <row r="3863">
      <c r="F3863" s="13"/>
    </row>
    <row r="3864">
      <c r="F3864" s="13"/>
    </row>
    <row r="3865">
      <c r="F3865" s="13"/>
    </row>
    <row r="3866">
      <c r="F3866" s="13"/>
    </row>
    <row r="3867">
      <c r="F3867" s="13"/>
    </row>
    <row r="3868">
      <c r="F3868" s="13"/>
    </row>
    <row r="3869">
      <c r="F3869" s="13"/>
    </row>
    <row r="3870">
      <c r="F3870" s="13"/>
    </row>
    <row r="3871">
      <c r="F3871" s="13"/>
    </row>
    <row r="3872">
      <c r="F3872" s="13"/>
    </row>
    <row r="3873">
      <c r="F3873" s="13"/>
    </row>
    <row r="3874">
      <c r="F3874" s="13"/>
    </row>
    <row r="3875">
      <c r="F3875" s="13"/>
    </row>
    <row r="3876">
      <c r="F3876" s="13"/>
    </row>
    <row r="3877">
      <c r="F3877" s="13"/>
    </row>
    <row r="3878">
      <c r="F3878" s="13"/>
    </row>
    <row r="3879">
      <c r="F3879" s="13"/>
    </row>
    <row r="3880">
      <c r="F3880" s="13"/>
    </row>
    <row r="3881">
      <c r="F3881" s="13"/>
    </row>
    <row r="3882">
      <c r="F3882" s="13"/>
    </row>
    <row r="3883">
      <c r="F3883" s="13"/>
    </row>
    <row r="3884">
      <c r="F3884" s="13"/>
    </row>
    <row r="3885">
      <c r="F3885" s="13"/>
    </row>
    <row r="3886">
      <c r="F3886" s="13"/>
    </row>
    <row r="3887">
      <c r="F3887" s="13"/>
    </row>
    <row r="3888">
      <c r="F3888" s="13"/>
    </row>
    <row r="3889">
      <c r="F3889" s="13"/>
    </row>
    <row r="3890">
      <c r="F3890" s="13"/>
    </row>
    <row r="3891">
      <c r="F3891" s="13"/>
    </row>
    <row r="3892">
      <c r="F3892" s="13"/>
    </row>
    <row r="3893">
      <c r="F3893" s="13"/>
    </row>
    <row r="3894">
      <c r="F3894" s="13"/>
    </row>
    <row r="3895">
      <c r="F3895" s="13"/>
    </row>
    <row r="3896">
      <c r="F3896" s="13"/>
    </row>
    <row r="3897">
      <c r="F3897" s="13"/>
    </row>
    <row r="3898">
      <c r="F3898" s="13"/>
    </row>
    <row r="3899">
      <c r="F3899" s="13"/>
    </row>
    <row r="3900">
      <c r="F3900" s="13"/>
    </row>
    <row r="3901">
      <c r="F3901" s="13"/>
    </row>
    <row r="3902">
      <c r="F3902" s="13"/>
    </row>
    <row r="3903">
      <c r="F3903" s="13"/>
    </row>
    <row r="3904">
      <c r="F3904" s="13"/>
    </row>
    <row r="3905">
      <c r="F3905" s="13"/>
    </row>
    <row r="3906">
      <c r="F3906" s="13"/>
    </row>
    <row r="3907">
      <c r="F3907" s="13"/>
    </row>
    <row r="3908">
      <c r="F3908" s="13"/>
    </row>
    <row r="3909">
      <c r="F3909" s="13"/>
    </row>
    <row r="3910">
      <c r="F3910" s="13"/>
    </row>
    <row r="3911">
      <c r="F3911" s="13"/>
    </row>
    <row r="3912">
      <c r="F3912" s="13"/>
    </row>
    <row r="3913">
      <c r="F3913" s="13"/>
    </row>
    <row r="3914">
      <c r="F3914" s="13"/>
    </row>
    <row r="3915">
      <c r="F3915" s="13"/>
    </row>
    <row r="3916">
      <c r="F3916" s="13"/>
    </row>
    <row r="3917">
      <c r="F3917" s="13"/>
    </row>
    <row r="3918">
      <c r="F3918" s="13"/>
    </row>
    <row r="3919">
      <c r="F3919" s="13"/>
    </row>
    <row r="3920">
      <c r="F3920" s="13"/>
    </row>
    <row r="3921">
      <c r="F3921" s="13"/>
    </row>
    <row r="3922">
      <c r="F3922" s="13"/>
    </row>
    <row r="3923">
      <c r="F3923" s="13"/>
    </row>
    <row r="3924">
      <c r="F3924" s="13"/>
    </row>
    <row r="3925">
      <c r="F3925" s="13"/>
    </row>
    <row r="3926">
      <c r="F3926" s="13"/>
    </row>
    <row r="3927">
      <c r="F3927" s="13"/>
    </row>
    <row r="3928">
      <c r="F3928" s="13"/>
    </row>
    <row r="3929">
      <c r="F3929" s="13"/>
    </row>
    <row r="3930">
      <c r="F3930" s="13"/>
    </row>
    <row r="3931">
      <c r="F3931" s="13"/>
    </row>
    <row r="3932">
      <c r="F3932" s="13"/>
    </row>
    <row r="3933">
      <c r="F3933" s="13"/>
    </row>
    <row r="3934">
      <c r="F3934" s="13"/>
    </row>
    <row r="3935">
      <c r="F3935" s="13"/>
    </row>
    <row r="3936">
      <c r="F3936" s="13"/>
    </row>
    <row r="3937">
      <c r="F3937" s="13"/>
    </row>
    <row r="3938">
      <c r="F3938" s="13"/>
    </row>
    <row r="3939">
      <c r="F3939" s="13"/>
    </row>
    <row r="3940">
      <c r="F3940" s="13"/>
    </row>
    <row r="3941">
      <c r="F3941" s="13"/>
    </row>
    <row r="3942">
      <c r="F3942" s="13"/>
    </row>
    <row r="3943">
      <c r="F3943" s="13"/>
    </row>
    <row r="3944">
      <c r="F3944" s="13"/>
    </row>
    <row r="3945">
      <c r="F3945" s="13"/>
    </row>
    <row r="3946">
      <c r="F3946" s="13"/>
    </row>
    <row r="3947">
      <c r="F3947" s="13"/>
    </row>
    <row r="3948">
      <c r="F3948" s="13"/>
    </row>
    <row r="3949">
      <c r="F3949" s="13"/>
    </row>
    <row r="3950">
      <c r="F3950" s="13"/>
    </row>
    <row r="3951">
      <c r="F3951" s="13"/>
    </row>
    <row r="3952">
      <c r="F3952" s="13"/>
    </row>
    <row r="3953">
      <c r="F3953" s="13"/>
    </row>
    <row r="3954">
      <c r="F3954" s="13"/>
    </row>
    <row r="3955">
      <c r="F3955" s="13"/>
    </row>
    <row r="3956">
      <c r="F3956" s="13"/>
    </row>
    <row r="3957">
      <c r="F3957" s="13"/>
    </row>
    <row r="3958">
      <c r="F3958" s="13"/>
    </row>
    <row r="3959">
      <c r="F3959" s="13"/>
    </row>
    <row r="3960">
      <c r="F3960" s="13"/>
    </row>
    <row r="3961">
      <c r="F3961" s="13"/>
    </row>
    <row r="3962">
      <c r="F3962" s="13"/>
    </row>
    <row r="3963">
      <c r="F3963" s="13"/>
    </row>
    <row r="3964">
      <c r="F3964" s="13"/>
    </row>
    <row r="3965">
      <c r="F3965" s="13"/>
    </row>
    <row r="3966">
      <c r="F3966" s="13"/>
    </row>
    <row r="3967">
      <c r="F3967" s="13"/>
    </row>
    <row r="3968">
      <c r="F3968" s="13"/>
    </row>
    <row r="3969">
      <c r="F3969" s="13"/>
    </row>
    <row r="3970">
      <c r="F3970" s="13"/>
    </row>
    <row r="3971">
      <c r="F3971" s="13"/>
    </row>
    <row r="3972">
      <c r="F3972" s="13"/>
    </row>
    <row r="3973">
      <c r="F3973" s="13"/>
    </row>
    <row r="3974">
      <c r="F3974" s="13"/>
    </row>
    <row r="3975">
      <c r="F3975" s="13"/>
    </row>
    <row r="3976">
      <c r="F3976" s="13"/>
    </row>
    <row r="3977">
      <c r="F3977" s="13"/>
    </row>
    <row r="3978">
      <c r="F3978" s="13"/>
    </row>
    <row r="3979">
      <c r="F3979" s="13"/>
    </row>
    <row r="3980">
      <c r="F3980" s="13"/>
    </row>
    <row r="3981">
      <c r="F3981" s="13"/>
    </row>
    <row r="3982">
      <c r="F3982" s="13"/>
    </row>
    <row r="3983">
      <c r="F3983" s="13"/>
    </row>
    <row r="3984">
      <c r="F3984" s="13"/>
    </row>
    <row r="3985">
      <c r="F3985" s="13"/>
    </row>
    <row r="3986">
      <c r="F3986" s="13"/>
    </row>
    <row r="3987">
      <c r="F3987" s="13"/>
    </row>
    <row r="3988">
      <c r="F3988" s="13"/>
    </row>
    <row r="3989">
      <c r="F3989" s="13"/>
    </row>
    <row r="3990">
      <c r="F3990" s="13"/>
    </row>
    <row r="3991">
      <c r="F3991" s="13"/>
    </row>
    <row r="3992">
      <c r="F3992" s="13"/>
    </row>
    <row r="3993">
      <c r="F3993" s="13"/>
    </row>
    <row r="3994">
      <c r="F3994" s="13"/>
    </row>
    <row r="3995">
      <c r="F3995" s="13"/>
    </row>
    <row r="3996">
      <c r="F3996" s="13"/>
    </row>
    <row r="3997">
      <c r="F3997" s="13"/>
    </row>
    <row r="3998">
      <c r="F3998" s="13"/>
    </row>
    <row r="3999">
      <c r="F3999" s="13"/>
    </row>
    <row r="4000">
      <c r="F4000" s="13"/>
    </row>
    <row r="4001">
      <c r="F4001" s="13"/>
    </row>
    <row r="4002">
      <c r="F4002" s="13"/>
    </row>
    <row r="4003">
      <c r="F4003" s="13"/>
    </row>
    <row r="4004">
      <c r="F4004" s="13"/>
    </row>
    <row r="4005">
      <c r="F4005" s="13"/>
    </row>
    <row r="4006">
      <c r="F4006" s="13"/>
    </row>
    <row r="4007">
      <c r="F4007" s="13"/>
    </row>
    <row r="4008">
      <c r="F4008" s="13"/>
    </row>
    <row r="4009">
      <c r="F4009" s="13"/>
    </row>
    <row r="4010">
      <c r="F4010" s="13"/>
    </row>
    <row r="4011">
      <c r="F4011" s="13"/>
    </row>
    <row r="4012">
      <c r="F4012" s="13"/>
    </row>
    <row r="4013">
      <c r="F4013" s="13"/>
    </row>
    <row r="4014">
      <c r="F4014" s="13"/>
    </row>
    <row r="4015">
      <c r="F4015" s="13"/>
    </row>
    <row r="4016">
      <c r="F4016" s="13"/>
    </row>
    <row r="4017">
      <c r="F4017" s="13"/>
    </row>
    <row r="4018">
      <c r="F4018" s="13"/>
    </row>
    <row r="4019">
      <c r="F4019" s="13"/>
    </row>
    <row r="4020">
      <c r="F4020" s="13"/>
    </row>
    <row r="4021">
      <c r="F4021" s="13"/>
    </row>
    <row r="4022">
      <c r="F4022" s="13"/>
    </row>
    <row r="4023">
      <c r="F4023" s="13"/>
    </row>
    <row r="4024">
      <c r="F4024" s="13"/>
    </row>
    <row r="4025">
      <c r="F4025" s="13"/>
    </row>
    <row r="4026">
      <c r="F4026" s="13"/>
    </row>
    <row r="4027">
      <c r="F4027" s="13"/>
    </row>
    <row r="4028">
      <c r="F4028" s="13"/>
    </row>
    <row r="4029">
      <c r="F4029" s="13"/>
    </row>
    <row r="4030">
      <c r="F4030" s="13"/>
    </row>
    <row r="4031">
      <c r="F4031" s="13"/>
    </row>
    <row r="4032">
      <c r="F4032" s="13"/>
    </row>
    <row r="4033">
      <c r="F4033" s="13"/>
    </row>
    <row r="4034">
      <c r="F4034" s="13"/>
    </row>
    <row r="4035">
      <c r="F4035" s="13"/>
    </row>
    <row r="4036">
      <c r="F4036" s="13"/>
    </row>
    <row r="4037">
      <c r="F4037" s="13"/>
    </row>
    <row r="4038">
      <c r="F4038" s="13"/>
    </row>
    <row r="4039">
      <c r="F4039" s="13"/>
    </row>
    <row r="4040">
      <c r="F4040" s="13"/>
    </row>
    <row r="4041">
      <c r="F4041" s="13"/>
    </row>
    <row r="4042">
      <c r="F4042" s="13"/>
    </row>
    <row r="4043">
      <c r="F4043" s="13"/>
    </row>
    <row r="4044">
      <c r="F4044" s="13"/>
    </row>
    <row r="4045">
      <c r="F4045" s="13"/>
    </row>
    <row r="4046">
      <c r="F4046" s="13"/>
    </row>
    <row r="4047">
      <c r="F4047" s="13"/>
    </row>
    <row r="4048">
      <c r="F4048" s="13"/>
    </row>
    <row r="4049">
      <c r="F4049" s="13"/>
    </row>
    <row r="4050">
      <c r="F4050" s="13"/>
    </row>
    <row r="4051">
      <c r="F4051" s="13"/>
    </row>
    <row r="4052">
      <c r="F4052" s="13"/>
    </row>
    <row r="4053">
      <c r="F4053" s="13"/>
    </row>
    <row r="4054">
      <c r="F4054" s="13"/>
    </row>
    <row r="4055">
      <c r="F4055" s="13"/>
    </row>
    <row r="4056">
      <c r="F4056" s="13"/>
    </row>
    <row r="4057">
      <c r="F4057" s="13"/>
    </row>
    <row r="4058">
      <c r="F4058" s="13"/>
    </row>
    <row r="4059">
      <c r="F4059" s="13"/>
    </row>
    <row r="4060">
      <c r="F4060" s="13"/>
    </row>
    <row r="4061">
      <c r="F4061" s="13"/>
    </row>
    <row r="4062">
      <c r="F4062" s="13"/>
    </row>
    <row r="4063">
      <c r="F4063" s="13"/>
    </row>
    <row r="4064">
      <c r="F4064" s="13"/>
    </row>
    <row r="4065">
      <c r="F4065" s="13"/>
    </row>
    <row r="4066">
      <c r="F4066" s="13"/>
    </row>
    <row r="4067">
      <c r="F4067" s="13"/>
    </row>
    <row r="4068">
      <c r="F4068" s="13"/>
    </row>
    <row r="4069">
      <c r="F4069" s="13"/>
    </row>
    <row r="4070">
      <c r="F4070" s="13"/>
    </row>
    <row r="4071">
      <c r="F4071" s="13"/>
    </row>
    <row r="4072">
      <c r="F4072" s="13"/>
    </row>
    <row r="4073">
      <c r="F4073" s="13"/>
    </row>
    <row r="4074">
      <c r="F4074" s="13"/>
    </row>
    <row r="4075">
      <c r="F4075" s="13"/>
    </row>
    <row r="4076">
      <c r="F4076" s="13"/>
    </row>
    <row r="4077">
      <c r="F4077" s="13"/>
    </row>
    <row r="4078">
      <c r="F4078" s="13"/>
    </row>
    <row r="4079">
      <c r="F4079" s="13"/>
    </row>
    <row r="4080">
      <c r="F4080" s="13"/>
    </row>
    <row r="4081">
      <c r="F4081" s="13"/>
    </row>
    <row r="4082">
      <c r="F4082" s="13"/>
    </row>
    <row r="4083">
      <c r="F4083" s="13"/>
    </row>
    <row r="4084">
      <c r="F4084" s="13"/>
    </row>
    <row r="4085">
      <c r="F4085" s="13"/>
    </row>
    <row r="4086">
      <c r="F4086" s="13"/>
    </row>
    <row r="4087">
      <c r="F4087" s="13"/>
    </row>
    <row r="4088">
      <c r="F4088" s="13"/>
    </row>
    <row r="4089">
      <c r="F4089" s="13"/>
    </row>
    <row r="4090">
      <c r="F4090" s="13"/>
    </row>
    <row r="4091">
      <c r="F4091" s="13"/>
    </row>
    <row r="4092">
      <c r="F4092" s="13"/>
    </row>
    <row r="4093">
      <c r="F4093" s="13"/>
    </row>
    <row r="4094">
      <c r="F4094" s="13"/>
    </row>
    <row r="4095">
      <c r="F4095" s="13"/>
    </row>
    <row r="4096">
      <c r="F4096" s="13"/>
    </row>
    <row r="4097">
      <c r="F4097" s="13"/>
    </row>
    <row r="4098">
      <c r="F4098" s="13"/>
    </row>
    <row r="4099">
      <c r="F4099" s="13"/>
    </row>
    <row r="4100">
      <c r="F4100" s="13"/>
    </row>
    <row r="4101">
      <c r="F4101" s="13"/>
    </row>
    <row r="4102">
      <c r="F4102" s="13"/>
    </row>
    <row r="4103">
      <c r="F4103" s="13"/>
    </row>
    <row r="4104">
      <c r="F4104" s="13"/>
    </row>
    <row r="4105">
      <c r="F4105" s="13"/>
    </row>
    <row r="4106">
      <c r="F4106" s="13"/>
    </row>
    <row r="4107">
      <c r="F4107" s="13"/>
    </row>
    <row r="4108">
      <c r="F4108" s="13"/>
    </row>
    <row r="4109">
      <c r="F4109" s="13"/>
    </row>
    <row r="4110">
      <c r="F4110" s="13"/>
    </row>
    <row r="4111">
      <c r="F4111" s="13"/>
    </row>
    <row r="4112">
      <c r="F4112" s="13"/>
    </row>
    <row r="4113">
      <c r="F4113" s="13"/>
    </row>
    <row r="4114">
      <c r="F4114" s="13"/>
    </row>
    <row r="4115">
      <c r="F4115" s="13"/>
    </row>
    <row r="4116">
      <c r="F4116" s="13"/>
    </row>
    <row r="4117">
      <c r="F4117" s="13"/>
    </row>
    <row r="4118">
      <c r="F4118" s="13"/>
    </row>
    <row r="4119">
      <c r="F4119" s="13"/>
    </row>
    <row r="4120">
      <c r="F4120" s="13"/>
    </row>
    <row r="4121">
      <c r="F4121" s="13"/>
    </row>
    <row r="4122">
      <c r="F4122" s="13"/>
    </row>
    <row r="4123">
      <c r="F4123" s="13"/>
    </row>
    <row r="4124">
      <c r="F4124" s="13"/>
    </row>
    <row r="4125">
      <c r="F4125" s="13"/>
    </row>
    <row r="4126">
      <c r="F4126" s="13"/>
    </row>
    <row r="4127">
      <c r="F4127" s="13"/>
    </row>
    <row r="4128">
      <c r="F4128" s="13"/>
    </row>
    <row r="4129">
      <c r="F4129" s="13"/>
    </row>
    <row r="4130">
      <c r="F4130" s="13"/>
    </row>
    <row r="4131">
      <c r="F4131" s="13"/>
    </row>
    <row r="4132">
      <c r="F4132" s="13"/>
    </row>
    <row r="4133">
      <c r="F4133" s="13"/>
    </row>
    <row r="4134">
      <c r="F4134" s="13"/>
    </row>
    <row r="4135">
      <c r="F4135" s="13"/>
    </row>
    <row r="4136">
      <c r="F4136" s="13"/>
    </row>
    <row r="4137">
      <c r="F4137" s="13"/>
    </row>
    <row r="4138">
      <c r="F4138" s="13"/>
    </row>
    <row r="4139">
      <c r="F4139" s="13"/>
    </row>
    <row r="4140">
      <c r="F4140" s="13"/>
    </row>
    <row r="4141">
      <c r="F4141" s="13"/>
    </row>
    <row r="4142">
      <c r="F4142" s="13"/>
    </row>
    <row r="4143">
      <c r="F4143" s="13"/>
    </row>
    <row r="4144">
      <c r="F4144" s="13"/>
    </row>
    <row r="4145">
      <c r="F4145" s="13"/>
    </row>
    <row r="4146">
      <c r="F4146" s="13"/>
    </row>
    <row r="4147">
      <c r="F4147" s="13"/>
    </row>
    <row r="4148">
      <c r="F4148" s="13"/>
    </row>
    <row r="4149">
      <c r="F4149" s="13"/>
    </row>
    <row r="4150">
      <c r="F4150" s="13"/>
    </row>
    <row r="4151">
      <c r="F4151" s="13"/>
    </row>
    <row r="4152">
      <c r="F4152" s="13"/>
    </row>
    <row r="4153">
      <c r="F4153" s="13"/>
    </row>
    <row r="4154">
      <c r="F4154" s="13"/>
    </row>
    <row r="4155">
      <c r="F4155" s="13"/>
    </row>
    <row r="4156">
      <c r="F4156" s="13"/>
    </row>
    <row r="4157">
      <c r="F4157" s="13"/>
    </row>
    <row r="4158">
      <c r="F4158" s="13"/>
    </row>
    <row r="4159">
      <c r="F4159" s="13"/>
    </row>
    <row r="4160">
      <c r="F4160" s="13"/>
    </row>
    <row r="4161">
      <c r="F4161" s="13"/>
    </row>
    <row r="4162">
      <c r="F4162" s="13"/>
    </row>
    <row r="4163">
      <c r="F4163" s="13"/>
    </row>
    <row r="4164">
      <c r="F4164" s="13"/>
    </row>
    <row r="4165">
      <c r="F4165" s="13"/>
    </row>
    <row r="4166">
      <c r="F4166" s="13"/>
    </row>
    <row r="4167">
      <c r="F4167" s="13"/>
    </row>
    <row r="4168">
      <c r="F4168" s="13"/>
    </row>
    <row r="4169">
      <c r="F4169" s="13"/>
    </row>
    <row r="4170">
      <c r="F4170" s="13"/>
    </row>
    <row r="4171">
      <c r="F4171" s="13"/>
    </row>
    <row r="4172">
      <c r="F4172" s="13"/>
    </row>
    <row r="4173">
      <c r="F4173" s="13"/>
    </row>
    <row r="4174">
      <c r="F4174" s="13"/>
    </row>
    <row r="4175">
      <c r="F4175" s="13"/>
    </row>
    <row r="4176">
      <c r="F4176" s="13"/>
    </row>
    <row r="4177">
      <c r="F4177" s="13"/>
    </row>
    <row r="4178">
      <c r="F4178" s="13"/>
    </row>
    <row r="4179">
      <c r="F4179" s="13"/>
    </row>
    <row r="4180">
      <c r="F4180" s="13"/>
    </row>
    <row r="4181">
      <c r="F4181" s="13"/>
    </row>
    <row r="4182">
      <c r="F4182" s="13"/>
    </row>
    <row r="4183">
      <c r="F4183" s="13"/>
    </row>
    <row r="4184">
      <c r="F4184" s="13"/>
    </row>
    <row r="4185">
      <c r="F4185" s="13"/>
    </row>
    <row r="4186">
      <c r="F4186" s="13"/>
    </row>
    <row r="4187">
      <c r="F4187" s="13"/>
    </row>
    <row r="4188">
      <c r="F4188" s="13"/>
    </row>
    <row r="4189">
      <c r="F4189" s="13"/>
    </row>
    <row r="4190">
      <c r="F4190" s="13"/>
    </row>
    <row r="4191">
      <c r="F4191" s="13"/>
    </row>
    <row r="4192">
      <c r="F4192" s="13"/>
    </row>
    <row r="4193">
      <c r="F4193" s="13"/>
    </row>
    <row r="4194">
      <c r="F4194" s="13"/>
    </row>
    <row r="4195">
      <c r="F4195" s="13"/>
    </row>
    <row r="4196">
      <c r="F4196" s="13"/>
    </row>
    <row r="4197">
      <c r="F4197" s="13"/>
    </row>
    <row r="4198">
      <c r="F4198" s="13"/>
    </row>
    <row r="4199">
      <c r="F4199" s="13"/>
    </row>
    <row r="4200">
      <c r="F4200" s="13"/>
    </row>
    <row r="4201">
      <c r="F4201" s="13"/>
    </row>
    <row r="4202">
      <c r="F4202" s="13"/>
    </row>
    <row r="4203">
      <c r="F4203" s="13"/>
    </row>
    <row r="4204">
      <c r="F4204" s="13"/>
    </row>
    <row r="4205">
      <c r="F4205" s="13"/>
    </row>
    <row r="4206">
      <c r="F4206" s="13"/>
    </row>
    <row r="4207">
      <c r="F4207" s="13"/>
    </row>
    <row r="4208">
      <c r="F4208" s="13"/>
    </row>
    <row r="4209">
      <c r="F4209" s="13"/>
    </row>
    <row r="4210">
      <c r="F4210" s="13"/>
    </row>
    <row r="4211">
      <c r="F4211" s="13"/>
    </row>
    <row r="4212">
      <c r="F4212" s="13"/>
    </row>
    <row r="4213">
      <c r="F4213" s="13"/>
    </row>
    <row r="4214">
      <c r="F4214" s="13"/>
    </row>
    <row r="4215">
      <c r="F4215" s="13"/>
    </row>
    <row r="4216">
      <c r="F4216" s="13"/>
    </row>
    <row r="4217">
      <c r="F4217" s="13"/>
    </row>
    <row r="4218">
      <c r="F4218" s="13"/>
    </row>
    <row r="4219">
      <c r="F4219" s="13"/>
    </row>
    <row r="4220">
      <c r="F4220" s="13"/>
    </row>
    <row r="4221">
      <c r="F4221" s="13"/>
    </row>
    <row r="4222">
      <c r="F4222" s="13"/>
    </row>
    <row r="4223">
      <c r="F4223" s="13"/>
    </row>
    <row r="4224">
      <c r="F4224" s="13"/>
    </row>
    <row r="4225">
      <c r="F4225" s="13"/>
    </row>
    <row r="4226">
      <c r="F4226" s="13"/>
    </row>
    <row r="4227">
      <c r="F4227" s="13"/>
    </row>
    <row r="4228">
      <c r="F4228" s="13"/>
    </row>
    <row r="4229">
      <c r="F4229" s="13"/>
    </row>
    <row r="4230">
      <c r="F4230" s="13"/>
    </row>
    <row r="4231">
      <c r="F4231" s="13"/>
    </row>
    <row r="4232">
      <c r="F4232" s="13"/>
    </row>
    <row r="4233">
      <c r="F4233" s="13"/>
    </row>
    <row r="4234">
      <c r="F4234" s="13"/>
    </row>
    <row r="4235">
      <c r="F4235" s="13"/>
    </row>
    <row r="4236">
      <c r="F4236" s="13"/>
    </row>
    <row r="4237">
      <c r="F4237" s="13"/>
    </row>
    <row r="4238">
      <c r="F4238" s="13"/>
    </row>
    <row r="4239">
      <c r="F4239" s="13"/>
    </row>
    <row r="4240">
      <c r="F4240" s="13"/>
    </row>
    <row r="4241">
      <c r="F4241" s="13"/>
    </row>
    <row r="4242">
      <c r="F4242" s="13"/>
    </row>
    <row r="4243">
      <c r="F4243" s="13"/>
    </row>
    <row r="4244">
      <c r="F4244" s="13"/>
    </row>
    <row r="4245">
      <c r="F4245" s="13"/>
    </row>
    <row r="4246">
      <c r="F4246" s="13"/>
    </row>
    <row r="4247">
      <c r="F4247" s="13"/>
    </row>
    <row r="4248">
      <c r="F4248" s="13"/>
    </row>
    <row r="4249">
      <c r="F4249" s="13"/>
    </row>
    <row r="4250">
      <c r="F4250" s="13"/>
    </row>
    <row r="4251">
      <c r="F4251" s="13"/>
    </row>
    <row r="4252">
      <c r="F4252" s="13"/>
    </row>
    <row r="4253">
      <c r="F4253" s="13"/>
    </row>
    <row r="4254">
      <c r="F4254" s="13"/>
    </row>
    <row r="4255">
      <c r="F4255" s="13"/>
    </row>
    <row r="4256">
      <c r="F4256" s="13"/>
    </row>
    <row r="4257">
      <c r="F4257" s="13"/>
    </row>
    <row r="4258">
      <c r="F4258" s="13"/>
    </row>
    <row r="4259">
      <c r="F4259" s="13"/>
    </row>
    <row r="4260">
      <c r="F4260" s="13"/>
    </row>
    <row r="4261">
      <c r="F4261" s="13"/>
    </row>
    <row r="4262">
      <c r="F4262" s="13"/>
    </row>
    <row r="4263">
      <c r="F4263" s="13"/>
    </row>
    <row r="4264">
      <c r="F4264" s="13"/>
    </row>
    <row r="4265">
      <c r="F4265" s="13"/>
    </row>
    <row r="4266">
      <c r="F4266" s="13"/>
    </row>
    <row r="4267">
      <c r="F4267" s="13"/>
    </row>
    <row r="4268">
      <c r="F4268" s="13"/>
    </row>
    <row r="4269">
      <c r="F4269" s="13"/>
    </row>
    <row r="4270">
      <c r="F4270" s="13"/>
    </row>
    <row r="4271">
      <c r="F4271" s="13"/>
    </row>
    <row r="4272">
      <c r="F4272" s="13"/>
    </row>
    <row r="4273">
      <c r="F4273" s="13"/>
    </row>
    <row r="4274">
      <c r="F4274" s="13"/>
    </row>
    <row r="4275">
      <c r="F4275" s="13"/>
    </row>
    <row r="4276">
      <c r="F4276" s="13"/>
    </row>
    <row r="4277">
      <c r="F4277" s="13"/>
    </row>
    <row r="4278">
      <c r="F4278" s="13"/>
    </row>
    <row r="4279">
      <c r="F4279" s="13"/>
    </row>
    <row r="4280">
      <c r="F4280" s="13"/>
    </row>
    <row r="4281">
      <c r="F4281" s="13"/>
    </row>
    <row r="4282">
      <c r="F4282" s="13"/>
    </row>
    <row r="4283">
      <c r="F4283" s="13"/>
    </row>
    <row r="4284">
      <c r="F4284" s="13"/>
    </row>
    <row r="4285">
      <c r="F4285" s="13"/>
    </row>
    <row r="4286">
      <c r="F4286" s="13"/>
    </row>
    <row r="4287">
      <c r="F4287" s="13"/>
    </row>
    <row r="4288">
      <c r="F4288" s="13"/>
    </row>
    <row r="4289">
      <c r="F4289" s="13"/>
    </row>
    <row r="4290">
      <c r="F4290" s="13"/>
    </row>
    <row r="4291">
      <c r="F4291" s="13"/>
    </row>
    <row r="4292">
      <c r="F4292" s="13"/>
    </row>
    <row r="4293">
      <c r="F4293" s="13"/>
    </row>
    <row r="4294">
      <c r="F4294" s="13"/>
    </row>
    <row r="4295">
      <c r="F4295" s="13"/>
    </row>
    <row r="4296">
      <c r="F4296" s="13"/>
    </row>
    <row r="4297">
      <c r="F4297" s="13"/>
    </row>
    <row r="4298">
      <c r="F4298" s="13"/>
    </row>
    <row r="4299">
      <c r="F4299" s="13"/>
    </row>
    <row r="4300">
      <c r="F4300" s="13"/>
    </row>
    <row r="4301">
      <c r="F4301" s="13"/>
    </row>
    <row r="4302">
      <c r="F4302" s="13"/>
    </row>
    <row r="4303">
      <c r="F4303" s="13"/>
    </row>
    <row r="4304">
      <c r="F4304" s="13"/>
    </row>
    <row r="4305">
      <c r="F4305" s="13"/>
    </row>
    <row r="4306">
      <c r="F4306" s="13"/>
    </row>
    <row r="4307">
      <c r="F4307" s="13"/>
    </row>
    <row r="4308">
      <c r="F4308" s="13"/>
    </row>
    <row r="4309">
      <c r="F4309" s="13"/>
    </row>
    <row r="4310">
      <c r="F4310" s="13"/>
    </row>
    <row r="4311">
      <c r="F4311" s="13"/>
    </row>
    <row r="4312">
      <c r="F4312" s="13"/>
    </row>
    <row r="4313">
      <c r="F4313" s="13"/>
    </row>
    <row r="4314">
      <c r="F4314" s="13"/>
    </row>
    <row r="4315">
      <c r="F4315" s="13"/>
    </row>
    <row r="4316">
      <c r="F4316" s="13"/>
    </row>
    <row r="4317">
      <c r="F4317" s="13"/>
    </row>
    <row r="4318">
      <c r="F4318" s="13"/>
    </row>
    <row r="4319">
      <c r="F4319" s="13"/>
    </row>
    <row r="4320">
      <c r="F4320" s="13"/>
    </row>
    <row r="4321">
      <c r="F4321" s="13"/>
    </row>
    <row r="4322">
      <c r="F4322" s="13"/>
    </row>
    <row r="4323">
      <c r="F4323" s="13"/>
    </row>
    <row r="4324">
      <c r="F4324" s="13"/>
    </row>
    <row r="4325">
      <c r="F4325" s="13"/>
    </row>
    <row r="4326">
      <c r="F4326" s="13"/>
    </row>
    <row r="4327">
      <c r="F4327" s="13"/>
    </row>
    <row r="4328">
      <c r="F4328" s="13"/>
    </row>
    <row r="4329">
      <c r="F4329" s="13"/>
    </row>
    <row r="4330">
      <c r="F4330" s="13"/>
    </row>
    <row r="4331">
      <c r="F4331" s="13"/>
    </row>
    <row r="4332">
      <c r="F4332" s="13"/>
    </row>
    <row r="4333">
      <c r="F4333" s="13"/>
    </row>
    <row r="4334">
      <c r="F4334" s="13"/>
    </row>
    <row r="4335">
      <c r="F4335" s="13"/>
    </row>
    <row r="4336">
      <c r="F4336" s="13"/>
    </row>
    <row r="4337">
      <c r="F4337" s="13"/>
    </row>
    <row r="4338">
      <c r="F4338" s="13"/>
    </row>
    <row r="4339">
      <c r="F4339" s="13"/>
    </row>
    <row r="4340">
      <c r="F4340" s="13"/>
    </row>
    <row r="4341">
      <c r="F4341" s="13"/>
    </row>
    <row r="4342">
      <c r="F4342" s="13"/>
    </row>
    <row r="4343">
      <c r="F4343" s="13"/>
    </row>
  </sheetData>
  <autoFilter ref="$D$115:$E$175">
    <filterColumn colId="0">
      <filters>
        <filter val="Mani tostado con sal"/>
        <filter val="arandanos"/>
        <filter val="mix semillas"/>
        <filter val="mix premium gourmet"/>
        <filter val="granola tropical"/>
        <filter val="Mani SIN SAL"/>
        <filter val="harina almendras s/piel"/>
        <filter val="coco rallado"/>
        <filter val="te matcha 50 gr"/>
        <filter val="mani tostado sin sal"/>
        <filter val="aceite coco entrenuts  neutrox 360ml"/>
        <filter val="mix premiun gourmet"/>
        <filter val="castañas caju"/>
        <filter val="Harina Almendras"/>
        <filter val="quinua"/>
        <filter val="Almendras Non Pareil"/>
        <filter val="datiles"/>
        <filter val="mix criollo con bananitas"/>
        <filter val="Harina de almendras SIN PIEL"/>
        <filter val="nueces mariposa extra light"/>
        <filter val="Dátiles"/>
        <filter val="castañas para"/>
        <filter val="sal himalaya fina"/>
        <filter val="harina almendras con piel"/>
        <filter val="ciruelas"/>
        <filter val="Harina de Algarroba"/>
        <filter val="mix cervecero"/>
        <filter val="mix premium"/>
        <filter val="Cacao Amargo"/>
        <filter val="yerba kalena 500 grs"/>
        <filter val="mix criollo"/>
        <filter val="Harina de coco"/>
        <filter val="semillas premium zapallo"/>
        <filter val="aceite oregano"/>
        <filter val="Te matcha"/>
        <filter val="Aceite de coco neutro 200 cc"/>
        <filter val="semillas premium girasol"/>
      </filters>
    </filterColumn>
  </autoFilter>
  <mergeCells count="1">
    <mergeCell ref="H732:H7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